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ns2="http://customooxmlschemas.google.com/" xmlns:r="http://schemas.openxmlformats.org/officeDocument/2006/relationships">
  <workbookPr/>
  <sheets>
    <sheet state="visible" name="Summary" sheetId="1" r:id="rId4"/>
    <sheet state="visible" name="Weekly Lunch" sheetId="2" r:id="rId5"/>
  </sheets>
  <definedNames/>
  <calcPr calcId="0" fullCalcOnLoad="1" forceFullCalc="1"/>
  <extLst>
    <ext uri="GoogleSheetsCustomDataVersion2">
      <ns2:sheetsCustomData r:id="rId6" roundtripDataChecksum="F0BkfV/sEIla/rLv5UccoeeRYhKLyEMWoi43gdgr588="/>
    </ext>
  </extLst>
</workbook>
</file>

<file path=xl/sharedStrings.xml><?xml version="1.0" encoding="utf-8"?>
<sst xmlns="http://schemas.openxmlformats.org/spreadsheetml/2006/main" count="133" uniqueCount="133">
  <si>
    <t>Event</t>
  </si>
  <si>
    <t>Quarter</t>
  </si>
  <si>
    <t>Budget</t>
  </si>
  <si>
    <t>Spent</t>
  </si>
  <si>
    <t>Budget Left</t>
  </si>
  <si>
    <t>Status</t>
  </si>
  <si>
    <t>Notes</t>
  </si>
  <si>
    <t>reserved for 2027 YED</t>
  </si>
  <si>
    <t>Q1</t>
  </si>
  <si>
    <t>Carry for 2027</t>
  </si>
  <si>
    <t>頌缽</t>
  </si>
  <si>
    <t>Q2</t>
  </si>
  <si>
    <t>Added ERG top-up based on original note</t>
  </si>
  <si>
    <t>潤餅</t>
  </si>
  <si>
    <t>Budget left filled in</t>
  </si>
  <si>
    <t>TBD</t>
  </si>
  <si>
    <t>Q3</t>
  </si>
  <si>
    <t>Keep as placeholder</t>
  </si>
  <si>
    <t>Q4</t>
  </si>
  <si>
    <t>plant tree</t>
  </si>
  <si>
    <t>ERG</t>
  </si>
  <si>
    <t>covered by Q2</t>
  </si>
  <si>
    <t>weekly lunch</t>
  </si>
  <si>
    <t>Spread across week 12-53, excluding week 23 business trip</t>
  </si>
  <si>
    <t>TOTAL</t>
  </si>
  <si>
    <t>Month</t>
  </si>
  <si>
    <t>Thursday</t>
  </si>
  <si>
    <t>Week</t>
  </si>
  <si>
    <t>Include</t>
  </si>
  <si>
    <t>Weekly Budget</t>
  </si>
  <si>
    <t>Budget Spent
lunch box</t>
  </si>
  <si>
    <t>Budget Spent
afternoon tea</t>
  </si>
  <si>
    <t>Note</t>
  </si>
  <si>
    <t>March</t>
  </si>
  <si>
    <t>2026-03-19</t>
  </si>
  <si>
    <t>week 12</t>
  </si>
  <si>
    <t>Yes</t>
  </si>
  <si>
    <t>比比拌飯27份/肯德基蛋塔＆雞塊＆qq球</t>
  </si>
  <si>
    <t>2026-03-26</t>
  </si>
  <si>
    <t>week 13</t>
  </si>
  <si>
    <t>April</t>
  </si>
  <si>
    <t>2026-04-02</t>
  </si>
  <si>
    <t>week 14</t>
  </si>
  <si>
    <t>2026-04-09</t>
  </si>
  <si>
    <t>week 15</t>
  </si>
  <si>
    <t>2026-04-16</t>
  </si>
  <si>
    <t>week 16</t>
  </si>
  <si>
    <t>2026-04-23</t>
  </si>
  <si>
    <t>week 17</t>
  </si>
  <si>
    <t>2026-04-30</t>
  </si>
  <si>
    <t>week 18</t>
  </si>
  <si>
    <t>May</t>
  </si>
  <si>
    <t>2026-05-07</t>
  </si>
  <si>
    <t>week 19</t>
  </si>
  <si>
    <t>2026-05-14</t>
  </si>
  <si>
    <t>week 20</t>
  </si>
  <si>
    <t>2026-05-21</t>
  </si>
  <si>
    <t>week 21</t>
  </si>
  <si>
    <t>2026-05-28</t>
  </si>
  <si>
    <t>week 22</t>
  </si>
  <si>
    <t>June</t>
  </si>
  <si>
    <t>2026-06-04</t>
  </si>
  <si>
    <t>week 23</t>
  </si>
  <si>
    <t>No</t>
  </si>
  <si>
    <t>Business trip week, skipped</t>
  </si>
  <si>
    <t>2026-06-11</t>
  </si>
  <si>
    <t>week 24</t>
  </si>
  <si>
    <t>2026-06-18</t>
  </si>
  <si>
    <t>week 25</t>
  </si>
  <si>
    <t>2026-06-25</t>
  </si>
  <si>
    <t>week 26</t>
  </si>
  <si>
    <t>July</t>
  </si>
  <si>
    <t>2026-07-02</t>
  </si>
  <si>
    <t>week 27</t>
  </si>
  <si>
    <t>2026-07-09</t>
  </si>
  <si>
    <t>week 28</t>
  </si>
  <si>
    <t>2026-07-16</t>
  </si>
  <si>
    <t>week 29</t>
  </si>
  <si>
    <t>2026-07-23</t>
  </si>
  <si>
    <t>week 30</t>
  </si>
  <si>
    <t>2026-07-30</t>
  </si>
  <si>
    <t>week 31</t>
  </si>
  <si>
    <t>August</t>
  </si>
  <si>
    <t>2026-08-06</t>
  </si>
  <si>
    <t>week 32</t>
  </si>
  <si>
    <t>2026-08-13</t>
  </si>
  <si>
    <t>week 33</t>
  </si>
  <si>
    <t>2026-08-20</t>
  </si>
  <si>
    <t>week 34</t>
  </si>
  <si>
    <t>2026-08-27</t>
  </si>
  <si>
    <t>week 35</t>
  </si>
  <si>
    <t>September</t>
  </si>
  <si>
    <t>2026-09-03</t>
  </si>
  <si>
    <t>week 36</t>
  </si>
  <si>
    <t>2026-09-10</t>
  </si>
  <si>
    <t>week 37</t>
  </si>
  <si>
    <t>2026-09-17</t>
  </si>
  <si>
    <t>week 38</t>
  </si>
  <si>
    <t>2026-09-24</t>
  </si>
  <si>
    <t>week 39</t>
  </si>
  <si>
    <t>October</t>
  </si>
  <si>
    <t>2026-10-01</t>
  </si>
  <si>
    <t>week 40</t>
  </si>
  <si>
    <t>2026-10-08</t>
  </si>
  <si>
    <t>week 41</t>
  </si>
  <si>
    <t>2026-10-15</t>
  </si>
  <si>
    <t>week 42</t>
  </si>
  <si>
    <t>2026-10-22</t>
  </si>
  <si>
    <t>week 43</t>
  </si>
  <si>
    <t>2026-10-29</t>
  </si>
  <si>
    <t>week 44</t>
  </si>
  <si>
    <t>November</t>
  </si>
  <si>
    <t>2026-11-05</t>
  </si>
  <si>
    <t>week 45</t>
  </si>
  <si>
    <t>2026-11-12</t>
  </si>
  <si>
    <t>week 46</t>
  </si>
  <si>
    <t>2026-11-19</t>
  </si>
  <si>
    <t>week 47</t>
  </si>
  <si>
    <t>2026-11-26</t>
  </si>
  <si>
    <t>week 48</t>
  </si>
  <si>
    <t>December</t>
  </si>
  <si>
    <t>2026-12-03</t>
  </si>
  <si>
    <t>week 49</t>
  </si>
  <si>
    <t>2026-12-10</t>
  </si>
  <si>
    <t>week 50</t>
  </si>
  <si>
    <t>2026-12-17</t>
  </si>
  <si>
    <t>week 51</t>
  </si>
  <si>
    <t>2026-12-24</t>
  </si>
  <si>
    <t>week 52</t>
  </si>
  <si>
    <t>2026-12-31</t>
  </si>
  <si>
    <t>week 53</t>
  </si>
  <si>
    <t>Spread across week 12-53, excluding week 18 and week 23; rollover only after F/G are filled</t>
  </si>
  <si>
    <t>Offsite activity, skipped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</si>
</sst>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NT$&quot;#,##0"/>
  </numFmts>
  <fonts count="9">
    <font>
      <sz val="11.0"/>
      <color rgb="FF000000"/>
      <name val="Aptos"/>
      <scheme val="minor"/>
    </font>
    <font>
      <b/>
      <sz val="11.0"/>
      <color theme="1"/>
      <name val="Aptos"/>
    </font>
    <font>
      <sz val="11.0"/>
      <color theme="1"/>
      <name val="Aptos"/>
    </font>
    <font/>
    <font>
      <sz val="11.0"/>
      <color theme="1"/>
      <name val="Arial"/>
    </font>
    <font>
      <b/>
      <sz val="11.0"/>
      <color rgb="FFFFFFFF"/>
      <name val="Aptos"/>
    </font>
    <font>
      <color theme="1"/>
      <name val="Aptos"/>
      <scheme val="minor"/>
    </font>
    <font>
      <b/>
      <sz val="11.0"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AF2FF"/>
        <bgColor rgb="FFEAF2FF"/>
      </patternFill>
    </fill>
    <fill>
      <patternFill patternType="solid">
        <fgColor rgb="FF1F4E78"/>
        <bgColor rgb="FF1F4E78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164" xfId="0" applyAlignment="1" applyBorder="1" applyFont="1" applyNumberForma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2" numFmtId="164" xfId="0" applyAlignment="1" applyBorder="1" applyFont="1" applyNumberFormat="1">
      <alignment horizontal="center" vertical="center"/>
    </xf>
    <xf borderId="3" fillId="0" fontId="3" numFmtId="0" xfId="0" applyBorder="1" applyFont="1"/>
    <xf borderId="1" fillId="0" fontId="4" numFmtId="0" xfId="0" applyAlignment="1" applyBorder="1" applyFont="1">
      <alignment horizontal="center" readingOrder="0" vertical="center"/>
    </xf>
    <xf borderId="1" fillId="3" fontId="5" numFmtId="0" xfId="0" applyAlignment="1" applyBorder="1" applyFill="1" applyFont="1">
      <alignment horizontal="center" vertical="center"/>
    </xf>
    <xf borderId="0" fillId="0" fontId="6" numFmtId="0" xfId="0" applyAlignment="1" applyFont="1">
      <alignment horizontal="center" vertical="center"/>
    </xf>
    <xf borderId="1" fillId="2" fontId="7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ptos"/>
        <a:ea typeface="Aptos"/>
        <a:cs typeface="Aptos"/>
      </a:majorFont>
      <a:minorFont>
        <a:latin typeface="Aptos"/>
        <a:ea typeface="Aptos"/>
        <a:cs typeface="Apto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16.0"/>
    <col customWidth="1" min="3" max="5" width="14.0"/>
    <col customWidth="1" min="6" max="6" width="12.0"/>
    <col customWidth="1" min="7" max="7" width="49.75"/>
    <col customWidth="1" min="8" max="24" width="8.63"/>
  </cols>
  <sheetData>
    <row r="1" ht="21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1.0" customHeight="1">
      <c r="A2" s="2" t="s">
        <v>7</v>
      </c>
      <c r="B2" s="2" t="s">
        <v>8</v>
      </c>
      <c r="C2" s="3">
        <v>125000.0</v>
      </c>
      <c r="D2" s="3">
        <v>0.0</v>
      </c>
      <c r="E2" s="3">
        <f>C2-D2</f>
        <v>125000</v>
      </c>
      <c r="F2" s="2" t="str">
        <f t="shared" ref="F2:F8" si="1">IF(E2&lt;0,"Over","OK")</f>
        <v>OK</v>
      </c>
      <c r="G2" s="2" t="s">
        <v>9</v>
      </c>
    </row>
    <row r="3" ht="21.0" customHeight="1">
      <c r="A3" s="2" t="s">
        <v>10</v>
      </c>
      <c r="B3" s="4" t="s">
        <v>11</v>
      </c>
      <c r="C3" s="5">
        <v>100000.0</v>
      </c>
      <c r="D3" s="3">
        <v>23793.0</v>
      </c>
      <c r="E3" s="5">
        <f>C3-D3-D4</f>
        <v>42217</v>
      </c>
      <c r="F3" s="2" t="str">
        <f t="shared" si="1"/>
        <v>OK</v>
      </c>
      <c r="G3" s="2" t="s">
        <v>12</v>
      </c>
    </row>
    <row r="4" ht="21.0" customHeight="1">
      <c r="A4" s="2" t="s">
        <v>13</v>
      </c>
      <c r="B4" s="6"/>
      <c r="C4" s="6"/>
      <c r="D4" s="3">
        <v>33990.0</v>
      </c>
      <c r="E4" s="6"/>
      <c r="F4" s="2" t="str">
        <f t="shared" si="1"/>
        <v>OK</v>
      </c>
      <c r="G4" s="2" t="s">
        <v>14</v>
      </c>
    </row>
    <row r="5" ht="21.0" customHeight="1">
      <c r="A5" s="2" t="s">
        <v>15</v>
      </c>
      <c r="B5" s="2" t="s">
        <v>16</v>
      </c>
      <c r="C5" s="3">
        <v>100000.0</v>
      </c>
      <c r="D5" s="3">
        <v>0.0</v>
      </c>
      <c r="E5" s="3">
        <f t="shared" ref="E5:E9" si="2">C5-D5</f>
        <v>100000</v>
      </c>
      <c r="F5" s="2" t="str">
        <f t="shared" si="1"/>
        <v>OK</v>
      </c>
      <c r="G5" s="2" t="s">
        <v>17</v>
      </c>
    </row>
    <row r="6" ht="21.0" customHeight="1">
      <c r="A6" s="2" t="s">
        <v>7</v>
      </c>
      <c r="B6" s="2" t="s">
        <v>18</v>
      </c>
      <c r="C6" s="3">
        <v>125000.0</v>
      </c>
      <c r="D6" s="3">
        <v>0.0</v>
      </c>
      <c r="E6" s="3">
        <f t="shared" si="2"/>
        <v>125000</v>
      </c>
      <c r="F6" s="2" t="str">
        <f t="shared" si="1"/>
        <v>OK</v>
      </c>
      <c r="G6" s="2" t="s">
        <v>9</v>
      </c>
    </row>
    <row r="7" ht="21.0" customHeight="1">
      <c r="A7" s="2" t="s">
        <v>19</v>
      </c>
      <c r="B7" s="2" t="s">
        <v>20</v>
      </c>
      <c r="C7" s="3">
        <v>123358.0</v>
      </c>
      <c r="D7" s="3">
        <v>130460.0</v>
      </c>
      <c r="E7" s="3">
        <f t="shared" si="2"/>
        <v>-7102</v>
      </c>
      <c r="F7" s="2" t="str">
        <f t="shared" si="1"/>
        <v>Over</v>
      </c>
      <c r="G7" s="7" t="s">
        <v>21</v>
      </c>
    </row>
    <row r="8" ht="21.0" customHeight="1">
      <c r="A8" s="2" t="s">
        <v>22</v>
      </c>
      <c r="B8" s="7"/>
      <c r="C8" s="3">
        <v>373070.0</v>
      </c>
      <c r="D8" s="3">
        <v>0.0</v>
      </c>
      <c r="E8" s="3">
        <f t="shared" si="2"/>
        <v>373070</v>
      </c>
      <c r="F8" s="2" t="str">
        <f t="shared" si="1"/>
        <v>OK</v>
      </c>
      <c r="G8" s="2" t="s">
        <v>131</v>
      </c>
    </row>
    <row r="9" ht="21.0" customHeight="1">
      <c r="A9" s="8" t="s">
        <v>24</v>
      </c>
      <c r="B9" s="9"/>
      <c r="C9" s="3">
        <f t="shared" ref="C9:D9" si="3">SUM(C2:C8)</f>
        <v>946428</v>
      </c>
      <c r="D9" s="3">
        <f t="shared" si="3"/>
        <v>188243</v>
      </c>
      <c r="E9" s="3">
        <f t="shared" si="2"/>
        <v>758185</v>
      </c>
      <c r="F9" s="9"/>
      <c r="G9" s="9"/>
    </row>
    <row r="10" ht="21.0" customHeight="1">
      <c r="A10" s="9"/>
      <c r="B10" s="9"/>
      <c r="C10" s="9"/>
      <c r="D10" s="9"/>
      <c r="E10" s="9"/>
      <c r="F10" s="9"/>
      <c r="G10" s="9"/>
    </row>
    <row r="11" ht="21.0" customHeight="1">
      <c r="A11" s="9"/>
      <c r="B11" s="9"/>
      <c r="C11" s="9"/>
      <c r="D11" s="9"/>
      <c r="E11" s="9"/>
      <c r="F11" s="9"/>
      <c r="G11" s="9"/>
    </row>
    <row r="12" ht="21.0" customHeight="1">
      <c r="A12" s="9"/>
      <c r="B12" s="9"/>
      <c r="C12" s="9"/>
      <c r="D12" s="9"/>
      <c r="E12" s="9"/>
      <c r="F12" s="9"/>
      <c r="G12" s="9"/>
    </row>
    <row r="13" ht="21.0" customHeight="1">
      <c r="A13" s="9"/>
      <c r="B13" s="9"/>
      <c r="C13" s="9"/>
      <c r="D13" s="9"/>
      <c r="E13" s="9"/>
      <c r="F13" s="9"/>
      <c r="G13" s="9"/>
    </row>
    <row r="14" ht="21.0" customHeight="1">
      <c r="A14" s="9"/>
      <c r="B14" s="9"/>
      <c r="C14" s="9"/>
      <c r="D14" s="9"/>
      <c r="E14" s="9"/>
      <c r="F14" s="9"/>
      <c r="G14" s="9"/>
    </row>
    <row r="15" ht="21.0" customHeight="1">
      <c r="A15" s="9"/>
      <c r="B15" s="9"/>
      <c r="C15" s="9"/>
      <c r="D15" s="9"/>
      <c r="E15" s="9"/>
      <c r="F15" s="9"/>
      <c r="G15" s="9"/>
    </row>
    <row r="16" ht="21.0" customHeight="1">
      <c r="A16" s="9"/>
      <c r="B16" s="9"/>
      <c r="C16" s="9"/>
      <c r="D16" s="9"/>
      <c r="E16" s="9"/>
      <c r="F16" s="9"/>
      <c r="G16" s="9"/>
    </row>
    <row r="17" ht="21.0" customHeight="1">
      <c r="A17" s="9"/>
      <c r="B17" s="9"/>
      <c r="C17" s="9"/>
      <c r="D17" s="9"/>
      <c r="E17" s="9"/>
      <c r="F17" s="9"/>
      <c r="G17" s="9"/>
    </row>
    <row r="18" ht="21.0" customHeight="1">
      <c r="A18" s="9"/>
      <c r="B18" s="9"/>
      <c r="C18" s="9"/>
      <c r="D18" s="9"/>
      <c r="E18" s="9"/>
      <c r="F18" s="9"/>
      <c r="G18" s="9"/>
    </row>
    <row r="19" ht="21.0" customHeight="1">
      <c r="A19" s="9"/>
      <c r="B19" s="9"/>
      <c r="C19" s="9"/>
      <c r="D19" s="9"/>
      <c r="E19" s="9"/>
      <c r="F19" s="9"/>
      <c r="G19" s="9"/>
    </row>
    <row r="20" ht="21.0" customHeight="1">
      <c r="A20" s="9"/>
      <c r="B20" s="9"/>
      <c r="C20" s="9"/>
      <c r="D20" s="9"/>
      <c r="E20" s="9"/>
      <c r="F20" s="9"/>
      <c r="G20" s="9"/>
    </row>
    <row r="21" ht="21.0" customHeight="1">
      <c r="A21" s="9"/>
      <c r="B21" s="9"/>
      <c r="C21" s="9"/>
      <c r="D21" s="9"/>
      <c r="E21" s="9"/>
      <c r="F21" s="9"/>
      <c r="G21" s="9"/>
    </row>
    <row r="22" ht="21.0" customHeight="1">
      <c r="A22" s="9"/>
      <c r="B22" s="9"/>
      <c r="C22" s="9"/>
      <c r="D22" s="9"/>
      <c r="E22" s="9"/>
      <c r="F22" s="9"/>
      <c r="G22" s="9"/>
    </row>
    <row r="23" ht="21.0" customHeight="1">
      <c r="A23" s="9"/>
      <c r="B23" s="9"/>
      <c r="C23" s="9"/>
      <c r="D23" s="9"/>
      <c r="E23" s="9"/>
      <c r="F23" s="9"/>
      <c r="G23" s="9"/>
    </row>
    <row r="24" ht="21.0" customHeight="1">
      <c r="A24" s="9"/>
      <c r="B24" s="9"/>
      <c r="C24" s="9"/>
      <c r="D24" s="9"/>
      <c r="E24" s="9"/>
      <c r="F24" s="9"/>
      <c r="G24" s="9"/>
    </row>
    <row r="25" ht="21.0" customHeight="1">
      <c r="A25" s="9"/>
      <c r="B25" s="9"/>
      <c r="C25" s="9"/>
      <c r="D25" s="9"/>
      <c r="E25" s="9"/>
      <c r="F25" s="9"/>
      <c r="G25" s="9"/>
    </row>
    <row r="26" ht="21.0" customHeight="1">
      <c r="A26" s="9"/>
      <c r="B26" s="9"/>
      <c r="C26" s="9"/>
      <c r="D26" s="9"/>
      <c r="E26" s="9"/>
      <c r="F26" s="9"/>
      <c r="G26" s="9"/>
    </row>
    <row r="27" ht="21.0" customHeight="1">
      <c r="A27" s="9"/>
      <c r="B27" s="9"/>
      <c r="C27" s="9"/>
      <c r="D27" s="9"/>
      <c r="E27" s="9"/>
      <c r="F27" s="9"/>
      <c r="G27" s="9"/>
    </row>
    <row r="28" ht="21.0" customHeight="1">
      <c r="A28" s="9"/>
      <c r="B28" s="9"/>
      <c r="C28" s="9"/>
      <c r="D28" s="9"/>
      <c r="E28" s="9"/>
      <c r="F28" s="9"/>
      <c r="G28" s="9"/>
    </row>
    <row r="29" ht="21.0" customHeight="1">
      <c r="A29" s="9"/>
      <c r="B29" s="9"/>
      <c r="C29" s="9"/>
      <c r="D29" s="9"/>
      <c r="E29" s="9"/>
      <c r="F29" s="9"/>
      <c r="G29" s="9"/>
    </row>
    <row r="30" ht="21.0" customHeight="1">
      <c r="A30" s="9"/>
      <c r="B30" s="9"/>
      <c r="C30" s="9"/>
      <c r="D30" s="9"/>
      <c r="E30" s="9"/>
      <c r="F30" s="9"/>
      <c r="G30" s="9"/>
    </row>
    <row r="31" ht="21.0" customHeight="1">
      <c r="A31" s="9"/>
      <c r="B31" s="9"/>
      <c r="C31" s="9"/>
      <c r="D31" s="9"/>
      <c r="E31" s="9"/>
      <c r="F31" s="9"/>
      <c r="G31" s="9"/>
    </row>
    <row r="32" ht="21.0" customHeight="1">
      <c r="A32" s="9"/>
      <c r="B32" s="9"/>
      <c r="C32" s="9"/>
      <c r="D32" s="9"/>
      <c r="E32" s="9"/>
      <c r="F32" s="9"/>
      <c r="G32" s="9"/>
    </row>
    <row r="33" ht="21.0" customHeight="1">
      <c r="A33" s="9"/>
      <c r="B33" s="9"/>
      <c r="C33" s="9"/>
      <c r="D33" s="9"/>
      <c r="E33" s="9"/>
      <c r="F33" s="9"/>
      <c r="G33" s="9"/>
    </row>
    <row r="34" ht="21.0" customHeight="1">
      <c r="A34" s="9"/>
      <c r="B34" s="9"/>
      <c r="C34" s="9"/>
      <c r="D34" s="9"/>
      <c r="E34" s="9"/>
      <c r="F34" s="9"/>
      <c r="G34" s="9"/>
    </row>
    <row r="35" ht="21.0" customHeight="1">
      <c r="A35" s="9"/>
      <c r="B35" s="9"/>
      <c r="C35" s="9"/>
      <c r="D35" s="9"/>
      <c r="E35" s="9"/>
      <c r="F35" s="9"/>
      <c r="G35" s="9"/>
    </row>
    <row r="36" ht="21.0" customHeight="1">
      <c r="A36" s="9"/>
      <c r="B36" s="9"/>
      <c r="C36" s="9"/>
      <c r="D36" s="9"/>
      <c r="E36" s="9"/>
      <c r="F36" s="9"/>
      <c r="G36" s="9"/>
    </row>
    <row r="37" ht="21.0" customHeight="1">
      <c r="A37" s="9"/>
      <c r="B37" s="9"/>
      <c r="C37" s="9"/>
      <c r="D37" s="9"/>
      <c r="E37" s="9"/>
      <c r="F37" s="9"/>
      <c r="G37" s="9"/>
    </row>
    <row r="38" ht="21.0" customHeight="1">
      <c r="A38" s="9"/>
      <c r="B38" s="9"/>
      <c r="C38" s="9"/>
      <c r="D38" s="9"/>
      <c r="E38" s="9"/>
      <c r="F38" s="9"/>
      <c r="G38" s="9"/>
    </row>
    <row r="39" ht="21.0" customHeight="1">
      <c r="A39" s="9"/>
      <c r="B39" s="9"/>
      <c r="C39" s="9"/>
      <c r="D39" s="9"/>
      <c r="E39" s="9"/>
      <c r="F39" s="9"/>
      <c r="G39" s="9"/>
    </row>
    <row r="40" ht="21.0" customHeight="1">
      <c r="A40" s="9"/>
      <c r="B40" s="9"/>
      <c r="C40" s="9"/>
      <c r="D40" s="9"/>
      <c r="E40" s="9"/>
      <c r="F40" s="9"/>
      <c r="G40" s="9"/>
    </row>
    <row r="41" ht="21.0" customHeight="1">
      <c r="A41" s="9"/>
      <c r="B41" s="9"/>
      <c r="C41" s="9"/>
      <c r="D41" s="9"/>
      <c r="E41" s="9"/>
      <c r="F41" s="9"/>
      <c r="G41" s="9"/>
    </row>
    <row r="42" ht="21.0" customHeight="1">
      <c r="A42" s="9"/>
      <c r="B42" s="9"/>
      <c r="C42" s="9"/>
      <c r="D42" s="9"/>
      <c r="E42" s="9"/>
      <c r="F42" s="9"/>
      <c r="G42" s="9"/>
    </row>
    <row r="43" ht="21.0" customHeight="1">
      <c r="A43" s="9"/>
      <c r="B43" s="9"/>
      <c r="C43" s="9"/>
      <c r="D43" s="9"/>
      <c r="E43" s="9"/>
      <c r="F43" s="9"/>
      <c r="G43" s="9"/>
    </row>
    <row r="44" ht="21.0" customHeight="1">
      <c r="A44" s="9"/>
      <c r="B44" s="9"/>
      <c r="C44" s="9"/>
      <c r="D44" s="9"/>
      <c r="E44" s="9"/>
      <c r="F44" s="9"/>
      <c r="G44" s="9"/>
    </row>
    <row r="45" ht="21.0" customHeight="1">
      <c r="A45" s="9"/>
      <c r="B45" s="9"/>
      <c r="C45" s="9"/>
      <c r="D45" s="9"/>
      <c r="E45" s="9"/>
      <c r="F45" s="9"/>
      <c r="G45" s="9"/>
    </row>
    <row r="46" ht="21.0" customHeight="1">
      <c r="A46" s="9"/>
      <c r="B46" s="9"/>
      <c r="C46" s="9"/>
      <c r="D46" s="9"/>
      <c r="E46" s="9"/>
      <c r="F46" s="9"/>
      <c r="G46" s="9"/>
    </row>
    <row r="47" ht="21.0" customHeight="1">
      <c r="A47" s="9"/>
      <c r="B47" s="9"/>
      <c r="C47" s="9"/>
      <c r="D47" s="9"/>
      <c r="E47" s="9"/>
      <c r="F47" s="9"/>
      <c r="G47" s="9"/>
    </row>
    <row r="48" ht="21.0" customHeight="1">
      <c r="A48" s="9"/>
      <c r="B48" s="9"/>
      <c r="C48" s="9"/>
      <c r="D48" s="9"/>
      <c r="E48" s="9"/>
      <c r="F48" s="9"/>
      <c r="G48" s="9"/>
    </row>
    <row r="49" ht="21.0" customHeight="1">
      <c r="A49" s="9"/>
      <c r="B49" s="9"/>
      <c r="C49" s="9"/>
      <c r="D49" s="9"/>
      <c r="E49" s="9"/>
      <c r="F49" s="9"/>
      <c r="G49" s="9"/>
    </row>
    <row r="50" ht="21.0" customHeight="1">
      <c r="A50" s="9"/>
      <c r="B50" s="9"/>
      <c r="C50" s="9"/>
      <c r="D50" s="9"/>
      <c r="E50" s="9"/>
      <c r="F50" s="9"/>
      <c r="G50" s="9"/>
    </row>
    <row r="51" ht="21.0" customHeight="1">
      <c r="A51" s="9"/>
      <c r="B51" s="9"/>
      <c r="C51" s="9"/>
      <c r="D51" s="9"/>
      <c r="E51" s="9"/>
      <c r="F51" s="9"/>
      <c r="G51" s="9"/>
    </row>
    <row r="52" ht="21.0" customHeight="1">
      <c r="A52" s="9"/>
      <c r="B52" s="9"/>
      <c r="C52" s="9"/>
      <c r="D52" s="9"/>
      <c r="E52" s="9"/>
      <c r="F52" s="9"/>
      <c r="G52" s="9"/>
    </row>
    <row r="53" ht="21.0" customHeight="1">
      <c r="A53" s="9"/>
      <c r="B53" s="9"/>
      <c r="C53" s="9"/>
      <c r="D53" s="9"/>
      <c r="E53" s="9"/>
      <c r="F53" s="9"/>
      <c r="G53" s="9"/>
    </row>
    <row r="54" ht="21.0" customHeight="1">
      <c r="A54" s="9"/>
      <c r="B54" s="9"/>
      <c r="C54" s="9"/>
      <c r="D54" s="9"/>
      <c r="E54" s="9"/>
      <c r="F54" s="9"/>
      <c r="G54" s="9"/>
    </row>
    <row r="55" ht="21.0" customHeight="1">
      <c r="A55" s="9"/>
      <c r="B55" s="9"/>
      <c r="C55" s="9"/>
      <c r="D55" s="9"/>
      <c r="E55" s="9"/>
      <c r="F55" s="9"/>
      <c r="G55" s="9"/>
    </row>
    <row r="56" ht="21.0" customHeight="1">
      <c r="A56" s="9"/>
      <c r="B56" s="9"/>
      <c r="C56" s="9"/>
      <c r="D56" s="9"/>
      <c r="E56" s="9"/>
      <c r="F56" s="9"/>
      <c r="G56" s="9"/>
    </row>
    <row r="57" ht="21.0" customHeight="1">
      <c r="A57" s="9"/>
      <c r="B57" s="9"/>
      <c r="C57" s="9"/>
      <c r="D57" s="9"/>
      <c r="E57" s="9"/>
      <c r="F57" s="9"/>
      <c r="G57" s="9"/>
    </row>
    <row r="58" ht="21.0" customHeight="1">
      <c r="A58" s="9"/>
      <c r="B58" s="9"/>
      <c r="C58" s="9"/>
      <c r="D58" s="9"/>
      <c r="E58" s="9"/>
      <c r="F58" s="9"/>
      <c r="G58" s="9"/>
    </row>
    <row r="59" ht="21.0" customHeight="1">
      <c r="A59" s="9"/>
      <c r="B59" s="9"/>
      <c r="C59" s="9"/>
      <c r="D59" s="9"/>
      <c r="E59" s="9"/>
      <c r="F59" s="9"/>
      <c r="G59" s="9"/>
    </row>
    <row r="60" ht="21.0" customHeight="1">
      <c r="A60" s="9"/>
      <c r="B60" s="9"/>
      <c r="C60" s="9"/>
      <c r="D60" s="9"/>
      <c r="E60" s="9"/>
      <c r="F60" s="9"/>
      <c r="G60" s="9"/>
    </row>
    <row r="61" ht="21.0" customHeight="1">
      <c r="A61" s="9"/>
      <c r="B61" s="9"/>
      <c r="C61" s="9"/>
      <c r="D61" s="9"/>
      <c r="E61" s="9"/>
      <c r="F61" s="9"/>
      <c r="G61" s="9"/>
    </row>
    <row r="62" ht="21.0" customHeight="1">
      <c r="A62" s="9"/>
      <c r="B62" s="9"/>
      <c r="C62" s="9"/>
      <c r="D62" s="9"/>
      <c r="E62" s="9"/>
      <c r="F62" s="9"/>
      <c r="G62" s="9"/>
    </row>
    <row r="63" ht="21.0" customHeight="1">
      <c r="A63" s="9"/>
      <c r="B63" s="9"/>
      <c r="C63" s="9"/>
      <c r="D63" s="9"/>
      <c r="E63" s="9"/>
      <c r="F63" s="9"/>
      <c r="G63" s="9"/>
    </row>
    <row r="64" ht="21.0" customHeight="1">
      <c r="A64" s="9"/>
      <c r="B64" s="9"/>
      <c r="C64" s="9"/>
      <c r="D64" s="9"/>
      <c r="E64" s="9"/>
      <c r="F64" s="9"/>
      <c r="G64" s="9"/>
    </row>
    <row r="65" ht="21.0" customHeight="1">
      <c r="A65" s="9"/>
      <c r="B65" s="9"/>
      <c r="C65" s="9"/>
      <c r="D65" s="9"/>
      <c r="E65" s="9"/>
      <c r="F65" s="9"/>
      <c r="G65" s="9"/>
    </row>
    <row r="66" ht="21.0" customHeight="1">
      <c r="A66" s="9"/>
      <c r="B66" s="9"/>
      <c r="C66" s="9"/>
      <c r="D66" s="9"/>
      <c r="E66" s="9"/>
      <c r="F66" s="9"/>
      <c r="G66" s="9"/>
    </row>
    <row r="67" ht="21.0" customHeight="1">
      <c r="A67" s="9"/>
      <c r="B67" s="9"/>
      <c r="C67" s="9"/>
      <c r="D67" s="9"/>
      <c r="E67" s="9"/>
      <c r="F67" s="9"/>
      <c r="G67" s="9"/>
    </row>
    <row r="68" ht="21.0" customHeight="1">
      <c r="A68" s="9"/>
      <c r="B68" s="9"/>
      <c r="C68" s="9"/>
      <c r="D68" s="9"/>
      <c r="E68" s="9"/>
      <c r="F68" s="9"/>
      <c r="G68" s="9"/>
    </row>
    <row r="69" ht="21.0" customHeight="1">
      <c r="A69" s="9"/>
      <c r="B69" s="9"/>
      <c r="C69" s="9"/>
      <c r="D69" s="9"/>
      <c r="E69" s="9"/>
      <c r="F69" s="9"/>
      <c r="G69" s="9"/>
    </row>
    <row r="70" ht="21.0" customHeight="1">
      <c r="A70" s="9"/>
      <c r="B70" s="9"/>
      <c r="C70" s="9"/>
      <c r="D70" s="9"/>
      <c r="E70" s="9"/>
      <c r="F70" s="9"/>
      <c r="G70" s="9"/>
    </row>
    <row r="71" ht="21.0" customHeight="1">
      <c r="A71" s="9"/>
      <c r="B71" s="9"/>
      <c r="C71" s="9"/>
      <c r="D71" s="9"/>
      <c r="E71" s="9"/>
      <c r="F71" s="9"/>
      <c r="G71" s="9"/>
    </row>
    <row r="72" ht="21.0" customHeight="1">
      <c r="A72" s="9"/>
      <c r="B72" s="9"/>
      <c r="C72" s="9"/>
      <c r="D72" s="9"/>
      <c r="E72" s="9"/>
      <c r="F72" s="9"/>
      <c r="G72" s="9"/>
    </row>
    <row r="73" ht="21.0" customHeight="1">
      <c r="A73" s="9"/>
      <c r="B73" s="9"/>
      <c r="C73" s="9"/>
      <c r="D73" s="9"/>
      <c r="E73" s="9"/>
      <c r="F73" s="9"/>
      <c r="G73" s="9"/>
    </row>
    <row r="74" ht="21.0" customHeight="1">
      <c r="A74" s="9"/>
      <c r="B74" s="9"/>
      <c r="C74" s="9"/>
      <c r="D74" s="9"/>
      <c r="E74" s="9"/>
      <c r="F74" s="9"/>
      <c r="G74" s="9"/>
    </row>
    <row r="75" ht="21.0" customHeight="1">
      <c r="A75" s="9"/>
      <c r="B75" s="9"/>
      <c r="C75" s="9"/>
      <c r="D75" s="9"/>
      <c r="E75" s="9"/>
      <c r="F75" s="9"/>
      <c r="G75" s="9"/>
    </row>
    <row r="76" ht="21.0" customHeight="1">
      <c r="A76" s="9"/>
      <c r="B76" s="9"/>
      <c r="C76" s="9"/>
      <c r="D76" s="9"/>
      <c r="E76" s="9"/>
      <c r="F76" s="9"/>
      <c r="G76" s="9"/>
    </row>
    <row r="77" ht="21.0" customHeight="1">
      <c r="A77" s="9"/>
      <c r="B77" s="9"/>
      <c r="C77" s="9"/>
      <c r="D77" s="9"/>
      <c r="E77" s="9"/>
      <c r="F77" s="9"/>
      <c r="G77" s="9"/>
    </row>
    <row r="78" ht="21.0" customHeight="1">
      <c r="A78" s="9"/>
      <c r="B78" s="9"/>
      <c r="C78" s="9"/>
      <c r="D78" s="9"/>
      <c r="E78" s="9"/>
      <c r="F78" s="9"/>
      <c r="G78" s="9"/>
    </row>
    <row r="79" ht="21.0" customHeight="1">
      <c r="A79" s="9"/>
      <c r="B79" s="9"/>
      <c r="C79" s="9"/>
      <c r="D79" s="9"/>
      <c r="E79" s="9"/>
      <c r="F79" s="9"/>
      <c r="G79" s="9"/>
    </row>
    <row r="80" ht="21.0" customHeight="1">
      <c r="A80" s="9"/>
      <c r="B80" s="9"/>
      <c r="C80" s="9"/>
      <c r="D80" s="9"/>
      <c r="E80" s="9"/>
      <c r="F80" s="9"/>
      <c r="G80" s="9"/>
    </row>
    <row r="81" ht="21.0" customHeight="1">
      <c r="A81" s="9"/>
      <c r="B81" s="9"/>
      <c r="C81" s="9"/>
      <c r="D81" s="9"/>
      <c r="E81" s="9"/>
      <c r="F81" s="9"/>
      <c r="G81" s="9"/>
    </row>
    <row r="82" ht="21.0" customHeight="1">
      <c r="A82" s="9"/>
      <c r="B82" s="9"/>
      <c r="C82" s="9"/>
      <c r="D82" s="9"/>
      <c r="E82" s="9"/>
      <c r="F82" s="9"/>
      <c r="G82" s="9"/>
    </row>
    <row r="83" ht="21.0" customHeight="1">
      <c r="A83" s="9"/>
      <c r="B83" s="9"/>
      <c r="C83" s="9"/>
      <c r="D83" s="9"/>
      <c r="E83" s="9"/>
      <c r="F83" s="9"/>
      <c r="G83" s="9"/>
    </row>
    <row r="84" ht="21.0" customHeight="1">
      <c r="A84" s="9"/>
      <c r="B84" s="9"/>
      <c r="C84" s="9"/>
      <c r="D84" s="9"/>
      <c r="E84" s="9"/>
      <c r="F84" s="9"/>
      <c r="G84" s="9"/>
    </row>
    <row r="85" ht="21.0" customHeight="1">
      <c r="A85" s="9"/>
      <c r="B85" s="9"/>
      <c r="C85" s="9"/>
      <c r="D85" s="9"/>
      <c r="E85" s="9"/>
      <c r="F85" s="9"/>
      <c r="G85" s="9"/>
    </row>
    <row r="86" ht="21.0" customHeight="1">
      <c r="A86" s="9"/>
      <c r="B86" s="9"/>
      <c r="C86" s="9"/>
      <c r="D86" s="9"/>
      <c r="E86" s="9"/>
      <c r="F86" s="9"/>
      <c r="G86" s="9"/>
    </row>
    <row r="87" ht="21.0" customHeight="1">
      <c r="A87" s="9"/>
      <c r="B87" s="9"/>
      <c r="C87" s="9"/>
      <c r="D87" s="9"/>
      <c r="E87" s="9"/>
      <c r="F87" s="9"/>
      <c r="G87" s="9"/>
    </row>
    <row r="88" ht="21.0" customHeight="1">
      <c r="A88" s="9"/>
      <c r="B88" s="9"/>
      <c r="C88" s="9"/>
      <c r="D88" s="9"/>
      <c r="E88" s="9"/>
      <c r="F88" s="9"/>
      <c r="G88" s="9"/>
    </row>
    <row r="89" ht="21.0" customHeight="1">
      <c r="A89" s="9"/>
      <c r="B89" s="9"/>
      <c r="C89" s="9"/>
      <c r="D89" s="9"/>
      <c r="E89" s="9"/>
      <c r="F89" s="9"/>
      <c r="G89" s="9"/>
    </row>
    <row r="90" ht="21.0" customHeight="1">
      <c r="A90" s="9"/>
      <c r="B90" s="9"/>
      <c r="C90" s="9"/>
      <c r="D90" s="9"/>
      <c r="E90" s="9"/>
      <c r="F90" s="9"/>
      <c r="G90" s="9"/>
    </row>
    <row r="91" ht="21.0" customHeight="1">
      <c r="A91" s="9"/>
      <c r="B91" s="9"/>
      <c r="C91" s="9"/>
      <c r="D91" s="9"/>
      <c r="E91" s="9"/>
      <c r="F91" s="9"/>
      <c r="G91" s="9"/>
    </row>
    <row r="92" ht="21.0" customHeight="1">
      <c r="A92" s="9"/>
      <c r="B92" s="9"/>
      <c r="C92" s="9"/>
      <c r="D92" s="9"/>
      <c r="E92" s="9"/>
      <c r="F92" s="9"/>
      <c r="G92" s="9"/>
    </row>
    <row r="93" ht="21.0" customHeight="1">
      <c r="A93" s="9"/>
      <c r="B93" s="9"/>
      <c r="C93" s="9"/>
      <c r="D93" s="9"/>
      <c r="E93" s="9"/>
      <c r="F93" s="9"/>
      <c r="G93" s="9"/>
    </row>
    <row r="94" ht="21.0" customHeight="1">
      <c r="A94" s="9"/>
      <c r="B94" s="9"/>
      <c r="C94" s="9"/>
      <c r="D94" s="9"/>
      <c r="E94" s="9"/>
      <c r="F94" s="9"/>
      <c r="G94" s="9"/>
    </row>
    <row r="95" ht="21.0" customHeight="1">
      <c r="A95" s="9"/>
      <c r="B95" s="9"/>
      <c r="C95" s="9"/>
      <c r="D95" s="9"/>
      <c r="E95" s="9"/>
      <c r="F95" s="9"/>
      <c r="G95" s="9"/>
    </row>
    <row r="96" ht="21.0" customHeight="1">
      <c r="A96" s="9"/>
      <c r="B96" s="9"/>
      <c r="C96" s="9"/>
      <c r="D96" s="9"/>
      <c r="E96" s="9"/>
      <c r="F96" s="9"/>
      <c r="G96" s="9"/>
    </row>
    <row r="97" ht="21.0" customHeight="1">
      <c r="A97" s="9"/>
      <c r="B97" s="9"/>
      <c r="C97" s="9"/>
      <c r="D97" s="9"/>
      <c r="E97" s="9"/>
      <c r="F97" s="9"/>
      <c r="G97" s="9"/>
    </row>
    <row r="98" ht="21.0" customHeight="1">
      <c r="A98" s="9"/>
      <c r="B98" s="9"/>
      <c r="C98" s="9"/>
      <c r="D98" s="9"/>
      <c r="E98" s="9"/>
      <c r="F98" s="9"/>
      <c r="G98" s="9"/>
    </row>
    <row r="99" ht="21.0" customHeight="1">
      <c r="A99" s="9"/>
      <c r="B99" s="9"/>
      <c r="C99" s="9"/>
      <c r="D99" s="9"/>
      <c r="E99" s="9"/>
      <c r="F99" s="9"/>
      <c r="G99" s="9"/>
    </row>
    <row r="100" ht="21.0" customHeight="1">
      <c r="A100" s="9"/>
      <c r="B100" s="9"/>
      <c r="C100" s="9"/>
      <c r="D100" s="9"/>
      <c r="E100" s="9"/>
      <c r="F100" s="9"/>
      <c r="G100" s="9"/>
    </row>
    <row r="101" ht="21.0" customHeight="1">
      <c r="A101" s="9"/>
      <c r="B101" s="9"/>
      <c r="C101" s="9"/>
      <c r="D101" s="9"/>
      <c r="E101" s="9"/>
      <c r="F101" s="9"/>
      <c r="G101" s="9"/>
    </row>
    <row r="102" ht="21.0" customHeight="1">
      <c r="A102" s="9"/>
      <c r="B102" s="9"/>
      <c r="C102" s="9"/>
      <c r="D102" s="9"/>
      <c r="E102" s="9"/>
      <c r="F102" s="9"/>
      <c r="G102" s="9"/>
    </row>
    <row r="103" ht="21.0" customHeight="1">
      <c r="A103" s="9"/>
      <c r="B103" s="9"/>
      <c r="C103" s="9"/>
      <c r="D103" s="9"/>
      <c r="E103" s="9"/>
      <c r="F103" s="9"/>
      <c r="G103" s="9"/>
    </row>
    <row r="104" ht="21.0" customHeight="1">
      <c r="A104" s="9"/>
      <c r="B104" s="9"/>
      <c r="C104" s="9"/>
      <c r="D104" s="9"/>
      <c r="E104" s="9"/>
      <c r="F104" s="9"/>
      <c r="G104" s="9"/>
    </row>
    <row r="105" ht="21.0" customHeight="1">
      <c r="A105" s="9"/>
      <c r="B105" s="9"/>
      <c r="C105" s="9"/>
      <c r="D105" s="9"/>
      <c r="E105" s="9"/>
      <c r="F105" s="9"/>
      <c r="G105" s="9"/>
    </row>
    <row r="106" ht="21.0" customHeight="1">
      <c r="A106" s="9"/>
      <c r="B106" s="9"/>
      <c r="C106" s="9"/>
      <c r="D106" s="9"/>
      <c r="E106" s="9"/>
      <c r="F106" s="9"/>
      <c r="G106" s="9"/>
    </row>
    <row r="107" ht="21.0" customHeight="1">
      <c r="A107" s="9"/>
      <c r="B107" s="9"/>
      <c r="C107" s="9"/>
      <c r="D107" s="9"/>
      <c r="E107" s="9"/>
      <c r="F107" s="9"/>
      <c r="G107" s="9"/>
    </row>
    <row r="108" ht="21.0" customHeight="1">
      <c r="A108" s="9"/>
      <c r="B108" s="9"/>
      <c r="C108" s="9"/>
      <c r="D108" s="9"/>
      <c r="E108" s="9"/>
      <c r="F108" s="9"/>
      <c r="G108" s="9"/>
    </row>
    <row r="109" ht="21.0" customHeight="1">
      <c r="A109" s="9"/>
      <c r="B109" s="9"/>
      <c r="C109" s="9"/>
      <c r="D109" s="9"/>
      <c r="E109" s="9"/>
      <c r="F109" s="9"/>
      <c r="G109" s="9"/>
    </row>
    <row r="110" ht="21.0" customHeight="1">
      <c r="A110" s="9"/>
      <c r="B110" s="9"/>
      <c r="C110" s="9"/>
      <c r="D110" s="9"/>
      <c r="E110" s="9"/>
      <c r="F110" s="9"/>
      <c r="G110" s="9"/>
    </row>
    <row r="111" ht="21.0" customHeight="1">
      <c r="A111" s="9"/>
      <c r="B111" s="9"/>
      <c r="C111" s="9"/>
      <c r="D111" s="9"/>
      <c r="E111" s="9"/>
      <c r="F111" s="9"/>
      <c r="G111" s="9"/>
    </row>
    <row r="112" ht="21.0" customHeight="1">
      <c r="A112" s="9"/>
      <c r="B112" s="9"/>
      <c r="C112" s="9"/>
      <c r="D112" s="9"/>
      <c r="E112" s="9"/>
      <c r="F112" s="9"/>
      <c r="G112" s="9"/>
    </row>
    <row r="113" ht="21.0" customHeight="1">
      <c r="A113" s="9"/>
      <c r="B113" s="9"/>
      <c r="C113" s="9"/>
      <c r="D113" s="9"/>
      <c r="E113" s="9"/>
      <c r="F113" s="9"/>
      <c r="G113" s="9"/>
    </row>
    <row r="114" ht="21.0" customHeight="1">
      <c r="A114" s="9"/>
      <c r="B114" s="9"/>
      <c r="C114" s="9"/>
      <c r="D114" s="9"/>
      <c r="E114" s="9"/>
      <c r="F114" s="9"/>
      <c r="G114" s="9"/>
    </row>
    <row r="115" ht="21.0" customHeight="1">
      <c r="A115" s="9"/>
      <c r="B115" s="9"/>
      <c r="C115" s="9"/>
      <c r="D115" s="9"/>
      <c r="E115" s="9"/>
      <c r="F115" s="9"/>
      <c r="G115" s="9"/>
    </row>
    <row r="116" ht="21.0" customHeight="1">
      <c r="A116" s="9"/>
      <c r="B116" s="9"/>
      <c r="C116" s="9"/>
      <c r="D116" s="9"/>
      <c r="E116" s="9"/>
      <c r="F116" s="9"/>
      <c r="G116" s="9"/>
    </row>
    <row r="117" ht="21.0" customHeight="1">
      <c r="A117" s="9"/>
      <c r="B117" s="9"/>
      <c r="C117" s="9"/>
      <c r="D117" s="9"/>
      <c r="E117" s="9"/>
      <c r="F117" s="9"/>
      <c r="G117" s="9"/>
    </row>
    <row r="118" ht="21.0" customHeight="1">
      <c r="A118" s="9"/>
      <c r="B118" s="9"/>
      <c r="C118" s="9"/>
      <c r="D118" s="9"/>
      <c r="E118" s="9"/>
      <c r="F118" s="9"/>
      <c r="G118" s="9"/>
    </row>
    <row r="119" ht="21.0" customHeight="1">
      <c r="A119" s="9"/>
      <c r="B119" s="9"/>
      <c r="C119" s="9"/>
      <c r="D119" s="9"/>
      <c r="E119" s="9"/>
      <c r="F119" s="9"/>
      <c r="G119" s="9"/>
    </row>
    <row r="120" ht="21.0" customHeight="1">
      <c r="A120" s="9"/>
      <c r="B120" s="9"/>
      <c r="C120" s="9"/>
      <c r="D120" s="9"/>
      <c r="E120" s="9"/>
      <c r="F120" s="9"/>
      <c r="G120" s="9"/>
    </row>
    <row r="121" ht="21.0" customHeight="1">
      <c r="A121" s="9"/>
      <c r="B121" s="9"/>
      <c r="C121" s="9"/>
      <c r="D121" s="9"/>
      <c r="E121" s="9"/>
      <c r="F121" s="9"/>
      <c r="G121" s="9"/>
    </row>
    <row r="122" ht="21.0" customHeight="1">
      <c r="A122" s="9"/>
      <c r="B122" s="9"/>
      <c r="C122" s="9"/>
      <c r="D122" s="9"/>
      <c r="E122" s="9"/>
      <c r="F122" s="9"/>
      <c r="G122" s="9"/>
    </row>
    <row r="123" ht="21.0" customHeight="1">
      <c r="A123" s="9"/>
      <c r="B123" s="9"/>
      <c r="C123" s="9"/>
      <c r="D123" s="9"/>
      <c r="E123" s="9"/>
      <c r="F123" s="9"/>
      <c r="G123" s="9"/>
    </row>
    <row r="124" ht="21.0" customHeight="1">
      <c r="A124" s="9"/>
      <c r="B124" s="9"/>
      <c r="C124" s="9"/>
      <c r="D124" s="9"/>
      <c r="E124" s="9"/>
      <c r="F124" s="9"/>
      <c r="G124" s="9"/>
    </row>
    <row r="125" ht="21.0" customHeight="1">
      <c r="A125" s="9"/>
      <c r="B125" s="9"/>
      <c r="C125" s="9"/>
      <c r="D125" s="9"/>
      <c r="E125" s="9"/>
      <c r="F125" s="9"/>
      <c r="G125" s="9"/>
    </row>
    <row r="126" ht="21.0" customHeight="1">
      <c r="A126" s="9"/>
      <c r="B126" s="9"/>
      <c r="C126" s="9"/>
      <c r="D126" s="9"/>
      <c r="E126" s="9"/>
      <c r="F126" s="9"/>
      <c r="G126" s="9"/>
    </row>
    <row r="127" ht="21.0" customHeight="1">
      <c r="A127" s="9"/>
      <c r="B127" s="9"/>
      <c r="C127" s="9"/>
      <c r="D127" s="9"/>
      <c r="E127" s="9"/>
      <c r="F127" s="9"/>
      <c r="G127" s="9"/>
    </row>
    <row r="128" ht="21.0" customHeight="1">
      <c r="A128" s="9"/>
      <c r="B128" s="9"/>
      <c r="C128" s="9"/>
      <c r="D128" s="9"/>
      <c r="E128" s="9"/>
      <c r="F128" s="9"/>
      <c r="G128" s="9"/>
    </row>
    <row r="129" ht="21.0" customHeight="1">
      <c r="A129" s="9"/>
      <c r="B129" s="9"/>
      <c r="C129" s="9"/>
      <c r="D129" s="9"/>
      <c r="E129" s="9"/>
      <c r="F129" s="9"/>
      <c r="G129" s="9"/>
    </row>
    <row r="130" ht="21.0" customHeight="1">
      <c r="A130" s="9"/>
      <c r="B130" s="9"/>
      <c r="C130" s="9"/>
      <c r="D130" s="9"/>
      <c r="E130" s="9"/>
      <c r="F130" s="9"/>
      <c r="G130" s="9"/>
    </row>
    <row r="131" ht="21.0" customHeight="1">
      <c r="A131" s="9"/>
      <c r="B131" s="9"/>
      <c r="C131" s="9"/>
      <c r="D131" s="9"/>
      <c r="E131" s="9"/>
      <c r="F131" s="9"/>
      <c r="G131" s="9"/>
    </row>
    <row r="132" ht="21.0" customHeight="1">
      <c r="A132" s="9"/>
      <c r="B132" s="9"/>
      <c r="C132" s="9"/>
      <c r="D132" s="9"/>
      <c r="E132" s="9"/>
      <c r="F132" s="9"/>
      <c r="G132" s="9"/>
    </row>
    <row r="133" ht="21.0" customHeight="1">
      <c r="A133" s="9"/>
      <c r="B133" s="9"/>
      <c r="C133" s="9"/>
      <c r="D133" s="9"/>
      <c r="E133" s="9"/>
      <c r="F133" s="9"/>
      <c r="G133" s="9"/>
    </row>
    <row r="134" ht="21.0" customHeight="1">
      <c r="A134" s="9"/>
      <c r="B134" s="9"/>
      <c r="C134" s="9"/>
      <c r="D134" s="9"/>
      <c r="E134" s="9"/>
      <c r="F134" s="9"/>
      <c r="G134" s="9"/>
    </row>
    <row r="135" ht="21.0" customHeight="1">
      <c r="A135" s="9"/>
      <c r="B135" s="9"/>
      <c r="C135" s="9"/>
      <c r="D135" s="9"/>
      <c r="E135" s="9"/>
      <c r="F135" s="9"/>
      <c r="G135" s="9"/>
    </row>
    <row r="136" ht="21.0" customHeight="1">
      <c r="A136" s="9"/>
      <c r="B136" s="9"/>
      <c r="C136" s="9"/>
      <c r="D136" s="9"/>
      <c r="E136" s="9"/>
      <c r="F136" s="9"/>
      <c r="G136" s="9"/>
    </row>
    <row r="137" ht="21.0" customHeight="1">
      <c r="A137" s="9"/>
      <c r="B137" s="9"/>
      <c r="C137" s="9"/>
      <c r="D137" s="9"/>
      <c r="E137" s="9"/>
      <c r="F137" s="9"/>
      <c r="G137" s="9"/>
    </row>
    <row r="138" ht="21.0" customHeight="1">
      <c r="A138" s="9"/>
      <c r="B138" s="9"/>
      <c r="C138" s="9"/>
      <c r="D138" s="9"/>
      <c r="E138" s="9"/>
      <c r="F138" s="9"/>
      <c r="G138" s="9"/>
    </row>
    <row r="139" ht="21.0" customHeight="1">
      <c r="A139" s="9"/>
      <c r="B139" s="9"/>
      <c r="C139" s="9"/>
      <c r="D139" s="9"/>
      <c r="E139" s="9"/>
      <c r="F139" s="9"/>
      <c r="G139" s="9"/>
    </row>
    <row r="140" ht="21.0" customHeight="1">
      <c r="A140" s="9"/>
      <c r="B140" s="9"/>
      <c r="C140" s="9"/>
      <c r="D140" s="9"/>
      <c r="E140" s="9"/>
      <c r="F140" s="9"/>
      <c r="G140" s="9"/>
    </row>
    <row r="141" ht="21.0" customHeight="1">
      <c r="A141" s="9"/>
      <c r="B141" s="9"/>
      <c r="C141" s="9"/>
      <c r="D141" s="9"/>
      <c r="E141" s="9"/>
      <c r="F141" s="9"/>
      <c r="G141" s="9"/>
    </row>
    <row r="142" ht="21.0" customHeight="1">
      <c r="A142" s="9"/>
      <c r="B142" s="9"/>
      <c r="C142" s="9"/>
      <c r="D142" s="9"/>
      <c r="E142" s="9"/>
      <c r="F142" s="9"/>
      <c r="G142" s="9"/>
    </row>
    <row r="143" ht="21.0" customHeight="1">
      <c r="A143" s="9"/>
      <c r="B143" s="9"/>
      <c r="C143" s="9"/>
      <c r="D143" s="9"/>
      <c r="E143" s="9"/>
      <c r="F143" s="9"/>
      <c r="G143" s="9"/>
    </row>
    <row r="144" ht="21.0" customHeight="1">
      <c r="A144" s="9"/>
      <c r="B144" s="9"/>
      <c r="C144" s="9"/>
      <c r="D144" s="9"/>
      <c r="E144" s="9"/>
      <c r="F144" s="9"/>
      <c r="G144" s="9"/>
    </row>
    <row r="145" ht="21.0" customHeight="1">
      <c r="A145" s="9"/>
      <c r="B145" s="9"/>
      <c r="C145" s="9"/>
      <c r="D145" s="9"/>
      <c r="E145" s="9"/>
      <c r="F145" s="9"/>
      <c r="G145" s="9"/>
    </row>
    <row r="146" ht="21.0" customHeight="1">
      <c r="A146" s="9"/>
      <c r="B146" s="9"/>
      <c r="C146" s="9"/>
      <c r="D146" s="9"/>
      <c r="E146" s="9"/>
      <c r="F146" s="9"/>
      <c r="G146" s="9"/>
    </row>
    <row r="147" ht="21.0" customHeight="1">
      <c r="A147" s="9"/>
      <c r="B147" s="9"/>
      <c r="C147" s="9"/>
      <c r="D147" s="9"/>
      <c r="E147" s="9"/>
      <c r="F147" s="9"/>
      <c r="G147" s="9"/>
    </row>
    <row r="148" ht="21.0" customHeight="1">
      <c r="A148" s="9"/>
      <c r="B148" s="9"/>
      <c r="C148" s="9"/>
      <c r="D148" s="9"/>
      <c r="E148" s="9"/>
      <c r="F148" s="9"/>
      <c r="G148" s="9"/>
    </row>
    <row r="149" ht="21.0" customHeight="1">
      <c r="A149" s="9"/>
      <c r="B149" s="9"/>
      <c r="C149" s="9"/>
      <c r="D149" s="9"/>
      <c r="E149" s="9"/>
      <c r="F149" s="9"/>
      <c r="G149" s="9"/>
    </row>
    <row r="150" ht="21.0" customHeight="1">
      <c r="A150" s="9"/>
      <c r="B150" s="9"/>
      <c r="C150" s="9"/>
      <c r="D150" s="9"/>
      <c r="E150" s="9"/>
      <c r="F150" s="9"/>
      <c r="G150" s="9"/>
    </row>
    <row r="151" ht="21.0" customHeight="1">
      <c r="A151" s="9"/>
      <c r="B151" s="9"/>
      <c r="C151" s="9"/>
      <c r="D151" s="9"/>
      <c r="E151" s="9"/>
      <c r="F151" s="9"/>
      <c r="G151" s="9"/>
    </row>
    <row r="152" ht="21.0" customHeight="1">
      <c r="A152" s="9"/>
      <c r="B152" s="9"/>
      <c r="C152" s="9"/>
      <c r="D152" s="9"/>
      <c r="E152" s="9"/>
      <c r="F152" s="9"/>
      <c r="G152" s="9"/>
    </row>
    <row r="153" ht="21.0" customHeight="1">
      <c r="A153" s="9"/>
      <c r="B153" s="9"/>
      <c r="C153" s="9"/>
      <c r="D153" s="9"/>
      <c r="E153" s="9"/>
      <c r="F153" s="9"/>
      <c r="G153" s="9"/>
    </row>
    <row r="154" ht="21.0" customHeight="1">
      <c r="A154" s="9"/>
      <c r="B154" s="9"/>
      <c r="C154" s="9"/>
      <c r="D154" s="9"/>
      <c r="E154" s="9"/>
      <c r="F154" s="9"/>
      <c r="G154" s="9"/>
    </row>
    <row r="155" ht="21.0" customHeight="1">
      <c r="A155" s="9"/>
      <c r="B155" s="9"/>
      <c r="C155" s="9"/>
      <c r="D155" s="9"/>
      <c r="E155" s="9"/>
      <c r="F155" s="9"/>
      <c r="G155" s="9"/>
    </row>
    <row r="156" ht="21.0" customHeight="1">
      <c r="A156" s="9"/>
      <c r="B156" s="9"/>
      <c r="C156" s="9"/>
      <c r="D156" s="9"/>
      <c r="E156" s="9"/>
      <c r="F156" s="9"/>
      <c r="G156" s="9"/>
    </row>
    <row r="157" ht="21.0" customHeight="1">
      <c r="A157" s="9"/>
      <c r="B157" s="9"/>
      <c r="C157" s="9"/>
      <c r="D157" s="9"/>
      <c r="E157" s="9"/>
      <c r="F157" s="9"/>
      <c r="G157" s="9"/>
    </row>
    <row r="158" ht="21.0" customHeight="1">
      <c r="A158" s="9"/>
      <c r="B158" s="9"/>
      <c r="C158" s="9"/>
      <c r="D158" s="9"/>
      <c r="E158" s="9"/>
      <c r="F158" s="9"/>
      <c r="G158" s="9"/>
    </row>
    <row r="159" ht="21.0" customHeight="1">
      <c r="A159" s="9"/>
      <c r="B159" s="9"/>
      <c r="C159" s="9"/>
      <c r="D159" s="9"/>
      <c r="E159" s="9"/>
      <c r="F159" s="9"/>
      <c r="G159" s="9"/>
    </row>
    <row r="160" ht="21.0" customHeight="1">
      <c r="A160" s="9"/>
      <c r="B160" s="9"/>
      <c r="C160" s="9"/>
      <c r="D160" s="9"/>
      <c r="E160" s="9"/>
      <c r="F160" s="9"/>
      <c r="G160" s="9"/>
    </row>
    <row r="161" ht="21.0" customHeight="1">
      <c r="A161" s="9"/>
      <c r="B161" s="9"/>
      <c r="C161" s="9"/>
      <c r="D161" s="9"/>
      <c r="E161" s="9"/>
      <c r="F161" s="9"/>
      <c r="G161" s="9"/>
    </row>
    <row r="162" ht="21.0" customHeight="1">
      <c r="A162" s="9"/>
      <c r="B162" s="9"/>
      <c r="C162" s="9"/>
      <c r="D162" s="9"/>
      <c r="E162" s="9"/>
      <c r="F162" s="9"/>
      <c r="G162" s="9"/>
    </row>
    <row r="163" ht="21.0" customHeight="1">
      <c r="A163" s="9"/>
      <c r="B163" s="9"/>
      <c r="C163" s="9"/>
      <c r="D163" s="9"/>
      <c r="E163" s="9"/>
      <c r="F163" s="9"/>
      <c r="G163" s="9"/>
    </row>
    <row r="164" ht="21.0" customHeight="1">
      <c r="A164" s="9"/>
      <c r="B164" s="9"/>
      <c r="C164" s="9"/>
      <c r="D164" s="9"/>
      <c r="E164" s="9"/>
      <c r="F164" s="9"/>
      <c r="G164" s="9"/>
    </row>
    <row r="165" ht="21.0" customHeight="1">
      <c r="A165" s="9"/>
      <c r="B165" s="9"/>
      <c r="C165" s="9"/>
      <c r="D165" s="9"/>
      <c r="E165" s="9"/>
      <c r="F165" s="9"/>
      <c r="G165" s="9"/>
    </row>
    <row r="166" ht="21.0" customHeight="1">
      <c r="A166" s="9"/>
      <c r="B166" s="9"/>
      <c r="C166" s="9"/>
      <c r="D166" s="9"/>
      <c r="E166" s="9"/>
      <c r="F166" s="9"/>
      <c r="G166" s="9"/>
    </row>
    <row r="167" ht="21.0" customHeight="1">
      <c r="A167" s="9"/>
      <c r="B167" s="9"/>
      <c r="C167" s="9"/>
      <c r="D167" s="9"/>
      <c r="E167" s="9"/>
      <c r="F167" s="9"/>
      <c r="G167" s="9"/>
    </row>
    <row r="168" ht="21.0" customHeight="1">
      <c r="A168" s="9"/>
      <c r="B168" s="9"/>
      <c r="C168" s="9"/>
      <c r="D168" s="9"/>
      <c r="E168" s="9"/>
      <c r="F168" s="9"/>
      <c r="G168" s="9"/>
    </row>
    <row r="169" ht="21.0" customHeight="1">
      <c r="A169" s="9"/>
      <c r="B169" s="9"/>
      <c r="C169" s="9"/>
      <c r="D169" s="9"/>
      <c r="E169" s="9"/>
      <c r="F169" s="9"/>
      <c r="G169" s="9"/>
    </row>
    <row r="170" ht="21.0" customHeight="1">
      <c r="A170" s="9"/>
      <c r="B170" s="9"/>
      <c r="C170" s="9"/>
      <c r="D170" s="9"/>
      <c r="E170" s="9"/>
      <c r="F170" s="9"/>
      <c r="G170" s="9"/>
    </row>
    <row r="171" ht="21.0" customHeight="1">
      <c r="A171" s="9"/>
      <c r="B171" s="9"/>
      <c r="C171" s="9"/>
      <c r="D171" s="9"/>
      <c r="E171" s="9"/>
      <c r="F171" s="9"/>
      <c r="G171" s="9"/>
    </row>
    <row r="172" ht="21.0" customHeight="1">
      <c r="A172" s="9"/>
      <c r="B172" s="9"/>
      <c r="C172" s="9"/>
      <c r="D172" s="9"/>
      <c r="E172" s="9"/>
      <c r="F172" s="9"/>
      <c r="G172" s="9"/>
    </row>
    <row r="173" ht="21.0" customHeight="1">
      <c r="A173" s="9"/>
      <c r="B173" s="9"/>
      <c r="C173" s="9"/>
      <c r="D173" s="9"/>
      <c r="E173" s="9"/>
      <c r="F173" s="9"/>
      <c r="G173" s="9"/>
    </row>
    <row r="174" ht="21.0" customHeight="1">
      <c r="A174" s="9"/>
      <c r="B174" s="9"/>
      <c r="C174" s="9"/>
      <c r="D174" s="9"/>
      <c r="E174" s="9"/>
      <c r="F174" s="9"/>
      <c r="G174" s="9"/>
    </row>
    <row r="175" ht="21.0" customHeight="1">
      <c r="A175" s="9"/>
      <c r="B175" s="9"/>
      <c r="C175" s="9"/>
      <c r="D175" s="9"/>
      <c r="E175" s="9"/>
      <c r="F175" s="9"/>
      <c r="G175" s="9"/>
    </row>
    <row r="176" ht="21.0" customHeight="1">
      <c r="A176" s="9"/>
      <c r="B176" s="9"/>
      <c r="C176" s="9"/>
      <c r="D176" s="9"/>
      <c r="E176" s="9"/>
      <c r="F176" s="9"/>
      <c r="G176" s="9"/>
    </row>
    <row r="177" ht="21.0" customHeight="1">
      <c r="A177" s="9"/>
      <c r="B177" s="9"/>
      <c r="C177" s="9"/>
      <c r="D177" s="9"/>
      <c r="E177" s="9"/>
      <c r="F177" s="9"/>
      <c r="G177" s="9"/>
    </row>
    <row r="178" ht="21.0" customHeight="1">
      <c r="A178" s="9"/>
      <c r="B178" s="9"/>
      <c r="C178" s="9"/>
      <c r="D178" s="9"/>
      <c r="E178" s="9"/>
      <c r="F178" s="9"/>
      <c r="G178" s="9"/>
    </row>
    <row r="179" ht="21.0" customHeight="1">
      <c r="A179" s="9"/>
      <c r="B179" s="9"/>
      <c r="C179" s="9"/>
      <c r="D179" s="9"/>
      <c r="E179" s="9"/>
      <c r="F179" s="9"/>
      <c r="G179" s="9"/>
    </row>
    <row r="180" ht="21.0" customHeight="1">
      <c r="A180" s="9"/>
      <c r="B180" s="9"/>
      <c r="C180" s="9"/>
      <c r="D180" s="9"/>
      <c r="E180" s="9"/>
      <c r="F180" s="9"/>
      <c r="G180" s="9"/>
    </row>
    <row r="181" ht="21.0" customHeight="1">
      <c r="A181" s="9"/>
      <c r="B181" s="9"/>
      <c r="C181" s="9"/>
      <c r="D181" s="9"/>
      <c r="E181" s="9"/>
      <c r="F181" s="9"/>
      <c r="G181" s="9"/>
    </row>
    <row r="182" ht="21.0" customHeight="1">
      <c r="A182" s="9"/>
      <c r="B182" s="9"/>
      <c r="C182" s="9"/>
      <c r="D182" s="9"/>
      <c r="E182" s="9"/>
      <c r="F182" s="9"/>
      <c r="G182" s="9"/>
    </row>
    <row r="183" ht="21.0" customHeight="1">
      <c r="A183" s="9"/>
      <c r="B183" s="9"/>
      <c r="C183" s="9"/>
      <c r="D183" s="9"/>
      <c r="E183" s="9"/>
      <c r="F183" s="9"/>
      <c r="G183" s="9"/>
    </row>
    <row r="184" ht="21.0" customHeight="1">
      <c r="A184" s="9"/>
      <c r="B184" s="9"/>
      <c r="C184" s="9"/>
      <c r="D184" s="9"/>
      <c r="E184" s="9"/>
      <c r="F184" s="9"/>
      <c r="G184" s="9"/>
    </row>
    <row r="185" ht="21.0" customHeight="1">
      <c r="A185" s="9"/>
      <c r="B185" s="9"/>
      <c r="C185" s="9"/>
      <c r="D185" s="9"/>
      <c r="E185" s="9"/>
      <c r="F185" s="9"/>
      <c r="G185" s="9"/>
    </row>
    <row r="186" ht="21.0" customHeight="1">
      <c r="A186" s="9"/>
      <c r="B186" s="9"/>
      <c r="C186" s="9"/>
      <c r="D186" s="9"/>
      <c r="E186" s="9"/>
      <c r="F186" s="9"/>
      <c r="G186" s="9"/>
    </row>
    <row r="187" ht="21.0" customHeight="1">
      <c r="A187" s="9"/>
      <c r="B187" s="9"/>
      <c r="C187" s="9"/>
      <c r="D187" s="9"/>
      <c r="E187" s="9"/>
      <c r="F187" s="9"/>
      <c r="G187" s="9"/>
    </row>
    <row r="188" ht="21.0" customHeight="1">
      <c r="A188" s="9"/>
      <c r="B188" s="9"/>
      <c r="C188" s="9"/>
      <c r="D188" s="9"/>
      <c r="E188" s="9"/>
      <c r="F188" s="9"/>
      <c r="G188" s="9"/>
    </row>
    <row r="189" ht="21.0" customHeight="1">
      <c r="A189" s="9"/>
      <c r="B189" s="9"/>
      <c r="C189" s="9"/>
      <c r="D189" s="9"/>
      <c r="E189" s="9"/>
      <c r="F189" s="9"/>
      <c r="G189" s="9"/>
    </row>
    <row r="190" ht="21.0" customHeight="1">
      <c r="A190" s="9"/>
      <c r="B190" s="9"/>
      <c r="C190" s="9"/>
      <c r="D190" s="9"/>
      <c r="E190" s="9"/>
      <c r="F190" s="9"/>
      <c r="G190" s="9"/>
    </row>
    <row r="191" ht="21.0" customHeight="1">
      <c r="A191" s="9"/>
      <c r="B191" s="9"/>
      <c r="C191" s="9"/>
      <c r="D191" s="9"/>
      <c r="E191" s="9"/>
      <c r="F191" s="9"/>
      <c r="G191" s="9"/>
    </row>
    <row r="192" ht="21.0" customHeight="1">
      <c r="A192" s="9"/>
      <c r="B192" s="9"/>
      <c r="C192" s="9"/>
      <c r="D192" s="9"/>
      <c r="E192" s="9"/>
      <c r="F192" s="9"/>
      <c r="G192" s="9"/>
    </row>
    <row r="193" ht="21.0" customHeight="1">
      <c r="A193" s="9"/>
      <c r="B193" s="9"/>
      <c r="C193" s="9"/>
      <c r="D193" s="9"/>
      <c r="E193" s="9"/>
      <c r="F193" s="9"/>
      <c r="G193" s="9"/>
    </row>
    <row r="194" ht="21.0" customHeight="1">
      <c r="A194" s="9"/>
      <c r="B194" s="9"/>
      <c r="C194" s="9"/>
      <c r="D194" s="9"/>
      <c r="E194" s="9"/>
      <c r="F194" s="9"/>
      <c r="G194" s="9"/>
    </row>
    <row r="195" ht="21.0" customHeight="1">
      <c r="A195" s="9"/>
      <c r="B195" s="9"/>
      <c r="C195" s="9"/>
      <c r="D195" s="9"/>
      <c r="E195" s="9"/>
      <c r="F195" s="9"/>
      <c r="G195" s="9"/>
    </row>
    <row r="196" ht="21.0" customHeight="1">
      <c r="A196" s="9"/>
      <c r="B196" s="9"/>
      <c r="C196" s="9"/>
      <c r="D196" s="9"/>
      <c r="E196" s="9"/>
      <c r="F196" s="9"/>
      <c r="G196" s="9"/>
    </row>
    <row r="197" ht="21.0" customHeight="1">
      <c r="A197" s="9"/>
      <c r="B197" s="9"/>
      <c r="C197" s="9"/>
      <c r="D197" s="9"/>
      <c r="E197" s="9"/>
      <c r="F197" s="9"/>
      <c r="G197" s="9"/>
    </row>
    <row r="198" ht="21.0" customHeight="1">
      <c r="A198" s="9"/>
      <c r="B198" s="9"/>
      <c r="C198" s="9"/>
      <c r="D198" s="9"/>
      <c r="E198" s="9"/>
      <c r="F198" s="9"/>
      <c r="G198" s="9"/>
    </row>
    <row r="199" ht="21.0" customHeight="1">
      <c r="A199" s="9"/>
      <c r="B199" s="9"/>
      <c r="C199" s="9"/>
      <c r="D199" s="9"/>
      <c r="E199" s="9"/>
      <c r="F199" s="9"/>
      <c r="G199" s="9"/>
    </row>
    <row r="200" ht="21.0" customHeight="1">
      <c r="A200" s="9"/>
      <c r="B200" s="9"/>
      <c r="C200" s="9"/>
      <c r="D200" s="9"/>
      <c r="E200" s="9"/>
      <c r="F200" s="9"/>
      <c r="G200" s="9"/>
    </row>
    <row r="201" ht="21.0" customHeight="1">
      <c r="A201" s="9"/>
      <c r="B201" s="9"/>
      <c r="C201" s="9"/>
      <c r="D201" s="9"/>
      <c r="E201" s="9"/>
      <c r="F201" s="9"/>
      <c r="G201" s="9"/>
    </row>
    <row r="202" ht="21.0" customHeight="1">
      <c r="A202" s="9"/>
      <c r="B202" s="9"/>
      <c r="C202" s="9"/>
      <c r="D202" s="9"/>
      <c r="E202" s="9"/>
      <c r="F202" s="9"/>
      <c r="G202" s="9"/>
    </row>
    <row r="203" ht="21.0" customHeight="1">
      <c r="A203" s="9"/>
      <c r="B203" s="9"/>
      <c r="C203" s="9"/>
      <c r="D203" s="9"/>
      <c r="E203" s="9"/>
      <c r="F203" s="9"/>
      <c r="G203" s="9"/>
    </row>
    <row r="204" ht="21.0" customHeight="1">
      <c r="A204" s="9"/>
      <c r="B204" s="9"/>
      <c r="C204" s="9"/>
      <c r="D204" s="9"/>
      <c r="E204" s="9"/>
      <c r="F204" s="9"/>
      <c r="G204" s="9"/>
    </row>
    <row r="205" ht="21.0" customHeight="1">
      <c r="A205" s="9"/>
      <c r="B205" s="9"/>
      <c r="C205" s="9"/>
      <c r="D205" s="9"/>
      <c r="E205" s="9"/>
      <c r="F205" s="9"/>
      <c r="G205" s="9"/>
    </row>
    <row r="206" ht="21.0" customHeight="1">
      <c r="A206" s="9"/>
      <c r="B206" s="9"/>
      <c r="C206" s="9"/>
      <c r="D206" s="9"/>
      <c r="E206" s="9"/>
      <c r="F206" s="9"/>
      <c r="G206" s="9"/>
    </row>
    <row r="207" ht="21.0" customHeight="1">
      <c r="A207" s="9"/>
      <c r="B207" s="9"/>
      <c r="C207" s="9"/>
      <c r="D207" s="9"/>
      <c r="E207" s="9"/>
      <c r="F207" s="9"/>
      <c r="G207" s="9"/>
    </row>
    <row r="208" ht="21.0" customHeight="1">
      <c r="A208" s="9"/>
      <c r="B208" s="9"/>
      <c r="C208" s="9"/>
      <c r="D208" s="9"/>
      <c r="E208" s="9"/>
      <c r="F208" s="9"/>
      <c r="G208" s="9"/>
    </row>
    <row r="209" ht="21.0" customHeight="1">
      <c r="A209" s="9"/>
      <c r="B209" s="9"/>
      <c r="C209" s="9"/>
      <c r="D209" s="9"/>
      <c r="E209" s="9"/>
      <c r="F209" s="9"/>
      <c r="G209" s="9"/>
    </row>
    <row r="210" ht="21.0" customHeight="1">
      <c r="A210" s="9"/>
      <c r="B210" s="9"/>
      <c r="C210" s="9"/>
      <c r="D210" s="9"/>
      <c r="E210" s="9"/>
      <c r="F210" s="9"/>
      <c r="G210" s="9"/>
    </row>
    <row r="211" ht="21.0" customHeight="1">
      <c r="A211" s="9"/>
      <c r="B211" s="9"/>
      <c r="C211" s="9"/>
      <c r="D211" s="9"/>
      <c r="E211" s="9"/>
      <c r="F211" s="9"/>
      <c r="G211" s="9"/>
    </row>
    <row r="212" ht="21.0" customHeight="1">
      <c r="A212" s="9"/>
      <c r="B212" s="9"/>
      <c r="C212" s="9"/>
      <c r="D212" s="9"/>
      <c r="E212" s="9"/>
      <c r="F212" s="9"/>
      <c r="G212" s="9"/>
    </row>
    <row r="213" ht="21.0" customHeight="1">
      <c r="A213" s="9"/>
      <c r="B213" s="9"/>
      <c r="C213" s="9"/>
      <c r="D213" s="9"/>
      <c r="E213" s="9"/>
      <c r="F213" s="9"/>
      <c r="G213" s="9"/>
    </row>
    <row r="214" ht="21.0" customHeight="1">
      <c r="A214" s="9"/>
      <c r="B214" s="9"/>
      <c r="C214" s="9"/>
      <c r="D214" s="9"/>
      <c r="E214" s="9"/>
      <c r="F214" s="9"/>
      <c r="G214" s="9"/>
    </row>
    <row r="215" ht="21.0" customHeight="1">
      <c r="A215" s="9"/>
      <c r="B215" s="9"/>
      <c r="C215" s="9"/>
      <c r="D215" s="9"/>
      <c r="E215" s="9"/>
      <c r="F215" s="9"/>
      <c r="G215" s="9"/>
    </row>
    <row r="216" ht="21.0" customHeight="1">
      <c r="A216" s="9"/>
      <c r="B216" s="9"/>
      <c r="C216" s="9"/>
      <c r="D216" s="9"/>
      <c r="E216" s="9"/>
      <c r="F216" s="9"/>
      <c r="G216" s="9"/>
    </row>
    <row r="217" ht="21.0" customHeight="1">
      <c r="A217" s="9"/>
      <c r="B217" s="9"/>
      <c r="C217" s="9"/>
      <c r="D217" s="9"/>
      <c r="E217" s="9"/>
      <c r="F217" s="9"/>
      <c r="G217" s="9"/>
    </row>
    <row r="218" ht="21.0" customHeight="1">
      <c r="A218" s="9"/>
      <c r="B218" s="9"/>
      <c r="C218" s="9"/>
      <c r="D218" s="9"/>
      <c r="E218" s="9"/>
      <c r="F218" s="9"/>
      <c r="G218" s="9"/>
    </row>
    <row r="219" ht="21.0" customHeight="1">
      <c r="A219" s="9"/>
      <c r="B219" s="9"/>
      <c r="C219" s="9"/>
      <c r="D219" s="9"/>
      <c r="E219" s="9"/>
      <c r="F219" s="9"/>
      <c r="G219" s="9"/>
    </row>
    <row r="220" ht="21.0" customHeight="1">
      <c r="A220" s="9"/>
      <c r="B220" s="9"/>
      <c r="C220" s="9"/>
      <c r="D220" s="9"/>
      <c r="E220" s="9"/>
      <c r="F220" s="9"/>
      <c r="G220" s="9"/>
    </row>
    <row r="221" ht="21.0" customHeight="1">
      <c r="A221" s="9"/>
      <c r="B221" s="9"/>
      <c r="C221" s="9"/>
      <c r="D221" s="9"/>
      <c r="E221" s="9"/>
      <c r="F221" s="9"/>
      <c r="G221" s="9"/>
    </row>
    <row r="222" ht="21.0" customHeight="1">
      <c r="A222" s="9"/>
      <c r="B222" s="9"/>
      <c r="C222" s="9"/>
      <c r="D222" s="9"/>
      <c r="E222" s="9"/>
      <c r="F222" s="9"/>
      <c r="G222" s="9"/>
    </row>
    <row r="223" ht="21.0" customHeight="1">
      <c r="A223" s="9"/>
      <c r="B223" s="9"/>
      <c r="C223" s="9"/>
      <c r="D223" s="9"/>
      <c r="E223" s="9"/>
      <c r="F223" s="9"/>
      <c r="G223" s="9"/>
    </row>
    <row r="224" ht="21.0" customHeight="1">
      <c r="A224" s="9"/>
      <c r="B224" s="9"/>
      <c r="C224" s="9"/>
      <c r="D224" s="9"/>
      <c r="E224" s="9"/>
      <c r="F224" s="9"/>
      <c r="G224" s="9"/>
    </row>
    <row r="225" ht="21.0" customHeight="1">
      <c r="A225" s="9"/>
      <c r="B225" s="9"/>
      <c r="C225" s="9"/>
      <c r="D225" s="9"/>
      <c r="E225" s="9"/>
      <c r="F225" s="9"/>
      <c r="G225" s="9"/>
    </row>
    <row r="226" ht="21.0" customHeight="1">
      <c r="A226" s="9"/>
      <c r="B226" s="9"/>
      <c r="C226" s="9"/>
      <c r="D226" s="9"/>
      <c r="E226" s="9"/>
      <c r="F226" s="9"/>
      <c r="G226" s="9"/>
    </row>
    <row r="227" ht="21.0" customHeight="1">
      <c r="A227" s="9"/>
      <c r="B227" s="9"/>
      <c r="C227" s="9"/>
      <c r="D227" s="9"/>
      <c r="E227" s="9"/>
      <c r="F227" s="9"/>
      <c r="G227" s="9"/>
    </row>
    <row r="228" ht="21.0" customHeight="1">
      <c r="A228" s="9"/>
      <c r="B228" s="9"/>
      <c r="C228" s="9"/>
      <c r="D228" s="9"/>
      <c r="E228" s="9"/>
      <c r="F228" s="9"/>
      <c r="G228" s="9"/>
    </row>
    <row r="229" ht="21.0" customHeight="1">
      <c r="A229" s="9"/>
      <c r="B229" s="9"/>
      <c r="C229" s="9"/>
      <c r="D229" s="9"/>
      <c r="E229" s="9"/>
      <c r="F229" s="9"/>
      <c r="G229" s="9"/>
    </row>
    <row r="230" ht="21.0" customHeight="1">
      <c r="A230" s="9"/>
      <c r="B230" s="9"/>
      <c r="C230" s="9"/>
      <c r="D230" s="9"/>
      <c r="E230" s="9"/>
      <c r="F230" s="9"/>
      <c r="G230" s="9"/>
    </row>
    <row r="231" ht="21.0" customHeight="1">
      <c r="A231" s="9"/>
      <c r="B231" s="9"/>
      <c r="C231" s="9"/>
      <c r="D231" s="9"/>
      <c r="E231" s="9"/>
      <c r="F231" s="9"/>
      <c r="G231" s="9"/>
    </row>
    <row r="232" ht="21.0" customHeight="1">
      <c r="A232" s="9"/>
      <c r="B232" s="9"/>
      <c r="C232" s="9"/>
      <c r="D232" s="9"/>
      <c r="E232" s="9"/>
      <c r="F232" s="9"/>
      <c r="G232" s="9"/>
    </row>
    <row r="233" ht="21.0" customHeight="1">
      <c r="A233" s="9"/>
      <c r="B233" s="9"/>
      <c r="C233" s="9"/>
      <c r="D233" s="9"/>
      <c r="E233" s="9"/>
      <c r="F233" s="9"/>
      <c r="G233" s="9"/>
    </row>
    <row r="234" ht="21.0" customHeight="1">
      <c r="A234" s="9"/>
      <c r="B234" s="9"/>
      <c r="C234" s="9"/>
      <c r="D234" s="9"/>
      <c r="E234" s="9"/>
      <c r="F234" s="9"/>
      <c r="G234" s="9"/>
    </row>
    <row r="235" ht="21.0" customHeight="1">
      <c r="A235" s="9"/>
      <c r="B235" s="9"/>
      <c r="C235" s="9"/>
      <c r="D235" s="9"/>
      <c r="E235" s="9"/>
      <c r="F235" s="9"/>
      <c r="G235" s="9"/>
    </row>
    <row r="236" ht="21.0" customHeight="1">
      <c r="A236" s="9"/>
      <c r="B236" s="9"/>
      <c r="C236" s="9"/>
      <c r="D236" s="9"/>
      <c r="E236" s="9"/>
      <c r="F236" s="9"/>
      <c r="G236" s="9"/>
    </row>
    <row r="237" ht="21.0" customHeight="1">
      <c r="A237" s="9"/>
      <c r="B237" s="9"/>
      <c r="C237" s="9"/>
      <c r="D237" s="9"/>
      <c r="E237" s="9"/>
      <c r="F237" s="9"/>
      <c r="G237" s="9"/>
    </row>
    <row r="238" ht="21.0" customHeight="1">
      <c r="A238" s="9"/>
      <c r="B238" s="9"/>
      <c r="C238" s="9"/>
      <c r="D238" s="9"/>
      <c r="E238" s="9"/>
      <c r="F238" s="9"/>
      <c r="G238" s="9"/>
    </row>
    <row r="239" ht="21.0" customHeight="1">
      <c r="A239" s="9"/>
      <c r="B239" s="9"/>
      <c r="C239" s="9"/>
      <c r="D239" s="9"/>
      <c r="E239" s="9"/>
      <c r="F239" s="9"/>
      <c r="G239" s="9"/>
    </row>
    <row r="240" ht="21.0" customHeight="1">
      <c r="A240" s="9"/>
      <c r="B240" s="9"/>
      <c r="C240" s="9"/>
      <c r="D240" s="9"/>
      <c r="E240" s="9"/>
      <c r="F240" s="9"/>
      <c r="G240" s="9"/>
    </row>
    <row r="241" ht="21.0" customHeight="1">
      <c r="A241" s="9"/>
      <c r="B241" s="9"/>
      <c r="C241" s="9"/>
      <c r="D241" s="9"/>
      <c r="E241" s="9"/>
      <c r="F241" s="9"/>
      <c r="G241" s="9"/>
    </row>
    <row r="242" ht="21.0" customHeight="1">
      <c r="A242" s="9"/>
      <c r="B242" s="9"/>
      <c r="C242" s="9"/>
      <c r="D242" s="9"/>
      <c r="E242" s="9"/>
      <c r="F242" s="9"/>
      <c r="G242" s="9"/>
    </row>
    <row r="243" ht="21.0" customHeight="1">
      <c r="A243" s="9"/>
      <c r="B243" s="9"/>
      <c r="C243" s="9"/>
      <c r="D243" s="9"/>
      <c r="E243" s="9"/>
      <c r="F243" s="9"/>
      <c r="G243" s="9"/>
    </row>
    <row r="244" ht="21.0" customHeight="1">
      <c r="A244" s="9"/>
      <c r="B244" s="9"/>
      <c r="C244" s="9"/>
      <c r="D244" s="9"/>
      <c r="E244" s="9"/>
      <c r="F244" s="9"/>
      <c r="G244" s="9"/>
    </row>
    <row r="245" ht="21.0" customHeight="1">
      <c r="A245" s="9"/>
      <c r="B245" s="9"/>
      <c r="C245" s="9"/>
      <c r="D245" s="9"/>
      <c r="E245" s="9"/>
      <c r="F245" s="9"/>
      <c r="G245" s="9"/>
    </row>
    <row r="246" ht="21.0" customHeight="1">
      <c r="A246" s="9"/>
      <c r="B246" s="9"/>
      <c r="C246" s="9"/>
      <c r="D246" s="9"/>
      <c r="E246" s="9"/>
      <c r="F246" s="9"/>
      <c r="G246" s="9"/>
    </row>
    <row r="247" ht="21.0" customHeight="1">
      <c r="A247" s="9"/>
      <c r="B247" s="9"/>
      <c r="C247" s="9"/>
      <c r="D247" s="9"/>
      <c r="E247" s="9"/>
      <c r="F247" s="9"/>
      <c r="G247" s="9"/>
    </row>
    <row r="248" ht="21.0" customHeight="1">
      <c r="A248" s="9"/>
      <c r="B248" s="9"/>
      <c r="C248" s="9"/>
      <c r="D248" s="9"/>
      <c r="E248" s="9"/>
      <c r="F248" s="9"/>
      <c r="G248" s="9"/>
    </row>
    <row r="249" ht="21.0" customHeight="1">
      <c r="A249" s="9"/>
      <c r="B249" s="9"/>
      <c r="C249" s="9"/>
      <c r="D249" s="9"/>
      <c r="E249" s="9"/>
      <c r="F249" s="9"/>
      <c r="G249" s="9"/>
    </row>
    <row r="250" ht="21.0" customHeight="1">
      <c r="A250" s="9"/>
      <c r="B250" s="9"/>
      <c r="C250" s="9"/>
      <c r="D250" s="9"/>
      <c r="E250" s="9"/>
      <c r="F250" s="9"/>
      <c r="G250" s="9"/>
    </row>
    <row r="251" ht="21.0" customHeight="1">
      <c r="A251" s="9"/>
      <c r="B251" s="9"/>
      <c r="C251" s="9"/>
      <c r="D251" s="9"/>
      <c r="E251" s="9"/>
      <c r="F251" s="9"/>
      <c r="G251" s="9"/>
    </row>
    <row r="252" ht="21.0" customHeight="1">
      <c r="A252" s="9"/>
      <c r="B252" s="9"/>
      <c r="C252" s="9"/>
      <c r="D252" s="9"/>
      <c r="E252" s="9"/>
      <c r="F252" s="9"/>
      <c r="G252" s="9"/>
    </row>
    <row r="253" ht="21.0" customHeight="1">
      <c r="A253" s="9"/>
      <c r="B253" s="9"/>
      <c r="C253" s="9"/>
      <c r="D253" s="9"/>
      <c r="E253" s="9"/>
      <c r="F253" s="9"/>
      <c r="G253" s="9"/>
    </row>
    <row r="254" ht="21.0" customHeight="1">
      <c r="A254" s="9"/>
      <c r="B254" s="9"/>
      <c r="C254" s="9"/>
      <c r="D254" s="9"/>
      <c r="E254" s="9"/>
      <c r="F254" s="9"/>
      <c r="G254" s="9"/>
    </row>
    <row r="255" ht="21.0" customHeight="1">
      <c r="A255" s="9"/>
      <c r="B255" s="9"/>
      <c r="C255" s="9"/>
      <c r="D255" s="9"/>
      <c r="E255" s="9"/>
      <c r="F255" s="9"/>
      <c r="G255" s="9"/>
    </row>
    <row r="256" ht="21.0" customHeight="1">
      <c r="A256" s="9"/>
      <c r="B256" s="9"/>
      <c r="C256" s="9"/>
      <c r="D256" s="9"/>
      <c r="E256" s="9"/>
      <c r="F256" s="9"/>
      <c r="G256" s="9"/>
    </row>
    <row r="257" ht="21.0" customHeight="1">
      <c r="A257" s="9"/>
      <c r="B257" s="9"/>
      <c r="C257" s="9"/>
      <c r="D257" s="9"/>
      <c r="E257" s="9"/>
      <c r="F257" s="9"/>
      <c r="G257" s="9"/>
    </row>
    <row r="258" ht="21.0" customHeight="1">
      <c r="A258" s="9"/>
      <c r="B258" s="9"/>
      <c r="C258" s="9"/>
      <c r="D258" s="9"/>
      <c r="E258" s="9"/>
      <c r="F258" s="9"/>
      <c r="G258" s="9"/>
    </row>
    <row r="259" ht="21.0" customHeight="1">
      <c r="A259" s="9"/>
      <c r="B259" s="9"/>
      <c r="C259" s="9"/>
      <c r="D259" s="9"/>
      <c r="E259" s="9"/>
      <c r="F259" s="9"/>
      <c r="G259" s="9"/>
    </row>
    <row r="260" ht="21.0" customHeight="1">
      <c r="A260" s="9"/>
      <c r="B260" s="9"/>
      <c r="C260" s="9"/>
      <c r="D260" s="9"/>
      <c r="E260" s="9"/>
      <c r="F260" s="9"/>
      <c r="G260" s="9"/>
    </row>
    <row r="261" ht="21.0" customHeight="1">
      <c r="A261" s="9"/>
      <c r="B261" s="9"/>
      <c r="C261" s="9"/>
      <c r="D261" s="9"/>
      <c r="E261" s="9"/>
      <c r="F261" s="9"/>
      <c r="G261" s="9"/>
    </row>
    <row r="262" ht="21.0" customHeight="1">
      <c r="A262" s="9"/>
      <c r="B262" s="9"/>
      <c r="C262" s="9"/>
      <c r="D262" s="9"/>
      <c r="E262" s="9"/>
      <c r="F262" s="9"/>
      <c r="G262" s="9"/>
    </row>
    <row r="263" ht="21.0" customHeight="1">
      <c r="A263" s="9"/>
      <c r="B263" s="9"/>
      <c r="C263" s="9"/>
      <c r="D263" s="9"/>
      <c r="E263" s="9"/>
      <c r="F263" s="9"/>
      <c r="G263" s="9"/>
    </row>
    <row r="264" ht="21.0" customHeight="1">
      <c r="A264" s="9"/>
      <c r="B264" s="9"/>
      <c r="C264" s="9"/>
      <c r="D264" s="9"/>
      <c r="E264" s="9"/>
      <c r="F264" s="9"/>
      <c r="G264" s="9"/>
    </row>
    <row r="265" ht="21.0" customHeight="1">
      <c r="A265" s="9"/>
      <c r="B265" s="9"/>
      <c r="C265" s="9"/>
      <c r="D265" s="9"/>
      <c r="E265" s="9"/>
      <c r="F265" s="9"/>
      <c r="G265" s="9"/>
    </row>
    <row r="266" ht="21.0" customHeight="1">
      <c r="A266" s="9"/>
      <c r="B266" s="9"/>
      <c r="C266" s="9"/>
      <c r="D266" s="9"/>
      <c r="E266" s="9"/>
      <c r="F266" s="9"/>
      <c r="G266" s="9"/>
    </row>
    <row r="267" ht="21.0" customHeight="1">
      <c r="A267" s="9"/>
      <c r="B267" s="9"/>
      <c r="C267" s="9"/>
      <c r="D267" s="9"/>
      <c r="E267" s="9"/>
      <c r="F267" s="9"/>
      <c r="G267" s="9"/>
    </row>
    <row r="268" ht="21.0" customHeight="1">
      <c r="A268" s="9"/>
      <c r="B268" s="9"/>
      <c r="C268" s="9"/>
      <c r="D268" s="9"/>
      <c r="E268" s="9"/>
      <c r="F268" s="9"/>
      <c r="G268" s="9"/>
    </row>
    <row r="269" ht="21.0" customHeight="1">
      <c r="A269" s="9"/>
      <c r="B269" s="9"/>
      <c r="C269" s="9"/>
      <c r="D269" s="9"/>
      <c r="E269" s="9"/>
      <c r="F269" s="9"/>
      <c r="G269" s="9"/>
    </row>
    <row r="270" ht="21.0" customHeight="1">
      <c r="A270" s="9"/>
      <c r="B270" s="9"/>
      <c r="C270" s="9"/>
      <c r="D270" s="9"/>
      <c r="E270" s="9"/>
      <c r="F270" s="9"/>
      <c r="G270" s="9"/>
    </row>
    <row r="271" ht="21.0" customHeight="1">
      <c r="A271" s="9"/>
      <c r="B271" s="9"/>
      <c r="C271" s="9"/>
      <c r="D271" s="9"/>
      <c r="E271" s="9"/>
      <c r="F271" s="9"/>
      <c r="G271" s="9"/>
    </row>
    <row r="272" ht="21.0" customHeight="1">
      <c r="A272" s="9"/>
      <c r="B272" s="9"/>
      <c r="C272" s="9"/>
      <c r="D272" s="9"/>
      <c r="E272" s="9"/>
      <c r="F272" s="9"/>
      <c r="G272" s="9"/>
    </row>
    <row r="273" ht="21.0" customHeight="1">
      <c r="A273" s="9"/>
      <c r="B273" s="9"/>
      <c r="C273" s="9"/>
      <c r="D273" s="9"/>
      <c r="E273" s="9"/>
      <c r="F273" s="9"/>
      <c r="G273" s="9"/>
    </row>
    <row r="274" ht="21.0" customHeight="1">
      <c r="A274" s="9"/>
      <c r="B274" s="9"/>
      <c r="C274" s="9"/>
      <c r="D274" s="9"/>
      <c r="E274" s="9"/>
      <c r="F274" s="9"/>
      <c r="G274" s="9"/>
    </row>
    <row r="275" ht="21.0" customHeight="1">
      <c r="A275" s="9"/>
      <c r="B275" s="9"/>
      <c r="C275" s="9"/>
      <c r="D275" s="9"/>
      <c r="E275" s="9"/>
      <c r="F275" s="9"/>
      <c r="G275" s="9"/>
    </row>
    <row r="276" ht="21.0" customHeight="1">
      <c r="A276" s="9"/>
      <c r="B276" s="9"/>
      <c r="C276" s="9"/>
      <c r="D276" s="9"/>
      <c r="E276" s="9"/>
      <c r="F276" s="9"/>
      <c r="G276" s="9"/>
    </row>
    <row r="277" ht="21.0" customHeight="1">
      <c r="A277" s="9"/>
      <c r="B277" s="9"/>
      <c r="C277" s="9"/>
      <c r="D277" s="9"/>
      <c r="E277" s="9"/>
      <c r="F277" s="9"/>
      <c r="G277" s="9"/>
    </row>
    <row r="278" ht="21.0" customHeight="1">
      <c r="A278" s="9"/>
      <c r="B278" s="9"/>
      <c r="C278" s="9"/>
      <c r="D278" s="9"/>
      <c r="E278" s="9"/>
      <c r="F278" s="9"/>
      <c r="G278" s="9"/>
    </row>
    <row r="279" ht="21.0" customHeight="1">
      <c r="A279" s="9"/>
      <c r="B279" s="9"/>
      <c r="C279" s="9"/>
      <c r="D279" s="9"/>
      <c r="E279" s="9"/>
      <c r="F279" s="9"/>
      <c r="G279" s="9"/>
    </row>
    <row r="280" ht="21.0" customHeight="1">
      <c r="A280" s="9"/>
      <c r="B280" s="9"/>
      <c r="C280" s="9"/>
      <c r="D280" s="9"/>
      <c r="E280" s="9"/>
      <c r="F280" s="9"/>
      <c r="G280" s="9"/>
    </row>
    <row r="281" ht="21.0" customHeight="1">
      <c r="A281" s="9"/>
      <c r="B281" s="9"/>
      <c r="C281" s="9"/>
      <c r="D281" s="9"/>
      <c r="E281" s="9"/>
      <c r="F281" s="9"/>
      <c r="G281" s="9"/>
    </row>
    <row r="282" ht="21.0" customHeight="1">
      <c r="A282" s="9"/>
      <c r="B282" s="9"/>
      <c r="C282" s="9"/>
      <c r="D282" s="9"/>
      <c r="E282" s="9"/>
      <c r="F282" s="9"/>
      <c r="G282" s="9"/>
    </row>
    <row r="283" ht="21.0" customHeight="1">
      <c r="A283" s="9"/>
      <c r="B283" s="9"/>
      <c r="C283" s="9"/>
      <c r="D283" s="9"/>
      <c r="E283" s="9"/>
      <c r="F283" s="9"/>
      <c r="G283" s="9"/>
    </row>
    <row r="284" ht="21.0" customHeight="1">
      <c r="A284" s="9"/>
      <c r="B284" s="9"/>
      <c r="C284" s="9"/>
      <c r="D284" s="9"/>
      <c r="E284" s="9"/>
      <c r="F284" s="9"/>
      <c r="G284" s="9"/>
    </row>
    <row r="285" ht="21.0" customHeight="1">
      <c r="A285" s="9"/>
      <c r="B285" s="9"/>
      <c r="C285" s="9"/>
      <c r="D285" s="9"/>
      <c r="E285" s="9"/>
      <c r="F285" s="9"/>
      <c r="G285" s="9"/>
    </row>
    <row r="286" ht="21.0" customHeight="1">
      <c r="A286" s="9"/>
      <c r="B286" s="9"/>
      <c r="C286" s="9"/>
      <c r="D286" s="9"/>
      <c r="E286" s="9"/>
      <c r="F286" s="9"/>
      <c r="G286" s="9"/>
    </row>
    <row r="287" ht="21.0" customHeight="1">
      <c r="A287" s="9"/>
      <c r="B287" s="9"/>
      <c r="C287" s="9"/>
      <c r="D287" s="9"/>
      <c r="E287" s="9"/>
      <c r="F287" s="9"/>
      <c r="G287" s="9"/>
    </row>
    <row r="288" ht="21.0" customHeight="1">
      <c r="A288" s="9"/>
      <c r="B288" s="9"/>
      <c r="C288" s="9"/>
      <c r="D288" s="9"/>
      <c r="E288" s="9"/>
      <c r="F288" s="9"/>
      <c r="G288" s="9"/>
    </row>
    <row r="289" ht="21.0" customHeight="1">
      <c r="A289" s="9"/>
      <c r="B289" s="9"/>
      <c r="C289" s="9"/>
      <c r="D289" s="9"/>
      <c r="E289" s="9"/>
      <c r="F289" s="9"/>
      <c r="G289" s="9"/>
    </row>
    <row r="290" ht="21.0" customHeight="1">
      <c r="A290" s="9"/>
      <c r="B290" s="9"/>
      <c r="C290" s="9"/>
      <c r="D290" s="9"/>
      <c r="E290" s="9"/>
      <c r="F290" s="9"/>
      <c r="G290" s="9"/>
    </row>
    <row r="291" ht="21.0" customHeight="1">
      <c r="A291" s="9"/>
      <c r="B291" s="9"/>
      <c r="C291" s="9"/>
      <c r="D291" s="9"/>
      <c r="E291" s="9"/>
      <c r="F291" s="9"/>
      <c r="G291" s="9"/>
    </row>
    <row r="292" ht="21.0" customHeight="1">
      <c r="A292" s="9"/>
      <c r="B292" s="9"/>
      <c r="C292" s="9"/>
      <c r="D292" s="9"/>
      <c r="E292" s="9"/>
      <c r="F292" s="9"/>
      <c r="G292" s="9"/>
    </row>
    <row r="293" ht="21.0" customHeight="1">
      <c r="A293" s="9"/>
      <c r="B293" s="9"/>
      <c r="C293" s="9"/>
      <c r="D293" s="9"/>
      <c r="E293" s="9"/>
      <c r="F293" s="9"/>
      <c r="G293" s="9"/>
    </row>
    <row r="294" ht="21.0" customHeight="1">
      <c r="A294" s="9"/>
      <c r="B294" s="9"/>
      <c r="C294" s="9"/>
      <c r="D294" s="9"/>
      <c r="E294" s="9"/>
      <c r="F294" s="9"/>
      <c r="G294" s="9"/>
    </row>
    <row r="295" ht="21.0" customHeight="1">
      <c r="A295" s="9"/>
      <c r="B295" s="9"/>
      <c r="C295" s="9"/>
      <c r="D295" s="9"/>
      <c r="E295" s="9"/>
      <c r="F295" s="9"/>
      <c r="G295" s="9"/>
    </row>
    <row r="296" ht="21.0" customHeight="1">
      <c r="A296" s="9"/>
      <c r="B296" s="9"/>
      <c r="C296" s="9"/>
      <c r="D296" s="9"/>
      <c r="E296" s="9"/>
      <c r="F296" s="9"/>
      <c r="G296" s="9"/>
    </row>
    <row r="297" ht="21.0" customHeight="1">
      <c r="A297" s="9"/>
      <c r="B297" s="9"/>
      <c r="C297" s="9"/>
      <c r="D297" s="9"/>
      <c r="E297" s="9"/>
      <c r="F297" s="9"/>
      <c r="G297" s="9"/>
    </row>
    <row r="298" ht="21.0" customHeight="1">
      <c r="A298" s="9"/>
      <c r="B298" s="9"/>
      <c r="C298" s="9"/>
      <c r="D298" s="9"/>
      <c r="E298" s="9"/>
      <c r="F298" s="9"/>
      <c r="G298" s="9"/>
    </row>
    <row r="299" ht="21.0" customHeight="1">
      <c r="A299" s="9"/>
      <c r="B299" s="9"/>
      <c r="C299" s="9"/>
      <c r="D299" s="9"/>
      <c r="E299" s="9"/>
      <c r="F299" s="9"/>
      <c r="G299" s="9"/>
    </row>
    <row r="300" ht="21.0" customHeight="1">
      <c r="A300" s="9"/>
      <c r="B300" s="9"/>
      <c r="C300" s="9"/>
      <c r="D300" s="9"/>
      <c r="E300" s="9"/>
      <c r="F300" s="9"/>
      <c r="G300" s="9"/>
    </row>
    <row r="301" ht="21.0" customHeight="1">
      <c r="A301" s="9"/>
      <c r="B301" s="9"/>
      <c r="C301" s="9"/>
      <c r="D301" s="9"/>
      <c r="E301" s="9"/>
      <c r="F301" s="9"/>
      <c r="G301" s="9"/>
    </row>
    <row r="302" ht="21.0" customHeight="1">
      <c r="A302" s="9"/>
      <c r="B302" s="9"/>
      <c r="C302" s="9"/>
      <c r="D302" s="9"/>
      <c r="E302" s="9"/>
      <c r="F302" s="9"/>
      <c r="G302" s="9"/>
    </row>
    <row r="303" ht="21.0" customHeight="1">
      <c r="A303" s="9"/>
      <c r="B303" s="9"/>
      <c r="C303" s="9"/>
      <c r="D303" s="9"/>
      <c r="E303" s="9"/>
      <c r="F303" s="9"/>
      <c r="G303" s="9"/>
    </row>
    <row r="304" ht="21.0" customHeight="1">
      <c r="A304" s="9"/>
      <c r="B304" s="9"/>
      <c r="C304" s="9"/>
      <c r="D304" s="9"/>
      <c r="E304" s="9"/>
      <c r="F304" s="9"/>
      <c r="G304" s="9"/>
    </row>
    <row r="305" ht="21.0" customHeight="1">
      <c r="A305" s="9"/>
      <c r="B305" s="9"/>
      <c r="C305" s="9"/>
      <c r="D305" s="9"/>
      <c r="E305" s="9"/>
      <c r="F305" s="9"/>
      <c r="G305" s="9"/>
    </row>
    <row r="306" ht="21.0" customHeight="1">
      <c r="A306" s="9"/>
      <c r="B306" s="9"/>
      <c r="C306" s="9"/>
      <c r="D306" s="9"/>
      <c r="E306" s="9"/>
      <c r="F306" s="9"/>
      <c r="G306" s="9"/>
    </row>
    <row r="307" ht="21.0" customHeight="1">
      <c r="A307" s="9"/>
      <c r="B307" s="9"/>
      <c r="C307" s="9"/>
      <c r="D307" s="9"/>
      <c r="E307" s="9"/>
      <c r="F307" s="9"/>
      <c r="G307" s="9"/>
    </row>
    <row r="308" ht="21.0" customHeight="1">
      <c r="A308" s="9"/>
      <c r="B308" s="9"/>
      <c r="C308" s="9"/>
      <c r="D308" s="9"/>
      <c r="E308" s="9"/>
      <c r="F308" s="9"/>
      <c r="G308" s="9"/>
    </row>
    <row r="309" ht="21.0" customHeight="1">
      <c r="A309" s="9"/>
      <c r="B309" s="9"/>
      <c r="C309" s="9"/>
      <c r="D309" s="9"/>
      <c r="E309" s="9"/>
      <c r="F309" s="9"/>
      <c r="G309" s="9"/>
    </row>
    <row r="310" ht="21.0" customHeight="1">
      <c r="A310" s="9"/>
      <c r="B310" s="9"/>
      <c r="C310" s="9"/>
      <c r="D310" s="9"/>
      <c r="E310" s="9"/>
      <c r="F310" s="9"/>
      <c r="G310" s="9"/>
    </row>
    <row r="311" ht="21.0" customHeight="1">
      <c r="A311" s="9"/>
      <c r="B311" s="9"/>
      <c r="C311" s="9"/>
      <c r="D311" s="9"/>
      <c r="E311" s="9"/>
      <c r="F311" s="9"/>
      <c r="G311" s="9"/>
    </row>
    <row r="312" ht="21.0" customHeight="1">
      <c r="A312" s="9"/>
      <c r="B312" s="9"/>
      <c r="C312" s="9"/>
      <c r="D312" s="9"/>
      <c r="E312" s="9"/>
      <c r="F312" s="9"/>
      <c r="G312" s="9"/>
    </row>
    <row r="313" ht="21.0" customHeight="1">
      <c r="A313" s="9"/>
      <c r="B313" s="9"/>
      <c r="C313" s="9"/>
      <c r="D313" s="9"/>
      <c r="E313" s="9"/>
      <c r="F313" s="9"/>
      <c r="G313" s="9"/>
    </row>
    <row r="314" ht="21.0" customHeight="1">
      <c r="A314" s="9"/>
      <c r="B314" s="9"/>
      <c r="C314" s="9"/>
      <c r="D314" s="9"/>
      <c r="E314" s="9"/>
      <c r="F314" s="9"/>
      <c r="G314" s="9"/>
    </row>
    <row r="315" ht="21.0" customHeight="1">
      <c r="A315" s="9"/>
      <c r="B315" s="9"/>
      <c r="C315" s="9"/>
      <c r="D315" s="9"/>
      <c r="E315" s="9"/>
      <c r="F315" s="9"/>
      <c r="G315" s="9"/>
    </row>
    <row r="316" ht="21.0" customHeight="1">
      <c r="A316" s="9"/>
      <c r="B316" s="9"/>
      <c r="C316" s="9"/>
      <c r="D316" s="9"/>
      <c r="E316" s="9"/>
      <c r="F316" s="9"/>
      <c r="G316" s="9"/>
    </row>
    <row r="317" ht="21.0" customHeight="1">
      <c r="A317" s="9"/>
      <c r="B317" s="9"/>
      <c r="C317" s="9"/>
      <c r="D317" s="9"/>
      <c r="E317" s="9"/>
      <c r="F317" s="9"/>
      <c r="G317" s="9"/>
    </row>
    <row r="318" ht="21.0" customHeight="1">
      <c r="A318" s="9"/>
      <c r="B318" s="9"/>
      <c r="C318" s="9"/>
      <c r="D318" s="9"/>
      <c r="E318" s="9"/>
      <c r="F318" s="9"/>
      <c r="G318" s="9"/>
    </row>
    <row r="319" ht="21.0" customHeight="1">
      <c r="A319" s="9"/>
      <c r="B319" s="9"/>
      <c r="C319" s="9"/>
      <c r="D319" s="9"/>
      <c r="E319" s="9"/>
      <c r="F319" s="9"/>
      <c r="G319" s="9"/>
    </row>
    <row r="320" ht="21.0" customHeight="1">
      <c r="A320" s="9"/>
      <c r="B320" s="9"/>
      <c r="C320" s="9"/>
      <c r="D320" s="9"/>
      <c r="E320" s="9"/>
      <c r="F320" s="9"/>
      <c r="G320" s="9"/>
    </row>
    <row r="321" ht="21.0" customHeight="1">
      <c r="A321" s="9"/>
      <c r="B321" s="9"/>
      <c r="C321" s="9"/>
      <c r="D321" s="9"/>
      <c r="E321" s="9"/>
      <c r="F321" s="9"/>
      <c r="G321" s="9"/>
    </row>
    <row r="322" ht="21.0" customHeight="1">
      <c r="A322" s="9"/>
      <c r="B322" s="9"/>
      <c r="C322" s="9"/>
      <c r="D322" s="9"/>
      <c r="E322" s="9"/>
      <c r="F322" s="9"/>
      <c r="G322" s="9"/>
    </row>
    <row r="323" ht="21.0" customHeight="1">
      <c r="A323" s="9"/>
      <c r="B323" s="9"/>
      <c r="C323" s="9"/>
      <c r="D323" s="9"/>
      <c r="E323" s="9"/>
      <c r="F323" s="9"/>
      <c r="G323" s="9"/>
    </row>
    <row r="324" ht="21.0" customHeight="1">
      <c r="A324" s="9"/>
      <c r="B324" s="9"/>
      <c r="C324" s="9"/>
      <c r="D324" s="9"/>
      <c r="E324" s="9"/>
      <c r="F324" s="9"/>
      <c r="G324" s="9"/>
    </row>
    <row r="325" ht="21.0" customHeight="1">
      <c r="A325" s="9"/>
      <c r="B325" s="9"/>
      <c r="C325" s="9"/>
      <c r="D325" s="9"/>
      <c r="E325" s="9"/>
      <c r="F325" s="9"/>
      <c r="G325" s="9"/>
    </row>
    <row r="326" ht="21.0" customHeight="1">
      <c r="A326" s="9"/>
      <c r="B326" s="9"/>
      <c r="C326" s="9"/>
      <c r="D326" s="9"/>
      <c r="E326" s="9"/>
      <c r="F326" s="9"/>
      <c r="G326" s="9"/>
    </row>
    <row r="327" ht="21.0" customHeight="1">
      <c r="A327" s="9"/>
      <c r="B327" s="9"/>
      <c r="C327" s="9"/>
      <c r="D327" s="9"/>
      <c r="E327" s="9"/>
      <c r="F327" s="9"/>
      <c r="G327" s="9"/>
    </row>
    <row r="328" ht="21.0" customHeight="1">
      <c r="A328" s="9"/>
      <c r="B328" s="9"/>
      <c r="C328" s="9"/>
      <c r="D328" s="9"/>
      <c r="E328" s="9"/>
      <c r="F328" s="9"/>
      <c r="G328" s="9"/>
    </row>
    <row r="329" ht="21.0" customHeight="1">
      <c r="A329" s="9"/>
      <c r="B329" s="9"/>
      <c r="C329" s="9"/>
      <c r="D329" s="9"/>
      <c r="E329" s="9"/>
      <c r="F329" s="9"/>
      <c r="G329" s="9"/>
    </row>
    <row r="330" ht="21.0" customHeight="1">
      <c r="A330" s="9"/>
      <c r="B330" s="9"/>
      <c r="C330" s="9"/>
      <c r="D330" s="9"/>
      <c r="E330" s="9"/>
      <c r="F330" s="9"/>
      <c r="G330" s="9"/>
    </row>
    <row r="331" ht="21.0" customHeight="1">
      <c r="A331" s="9"/>
      <c r="B331" s="9"/>
      <c r="C331" s="9"/>
      <c r="D331" s="9"/>
      <c r="E331" s="9"/>
      <c r="F331" s="9"/>
      <c r="G331" s="9"/>
    </row>
    <row r="332" ht="21.0" customHeight="1">
      <c r="A332" s="9"/>
      <c r="B332" s="9"/>
      <c r="C332" s="9"/>
      <c r="D332" s="9"/>
      <c r="E332" s="9"/>
      <c r="F332" s="9"/>
      <c r="G332" s="9"/>
    </row>
    <row r="333" ht="21.0" customHeight="1">
      <c r="A333" s="9"/>
      <c r="B333" s="9"/>
      <c r="C333" s="9"/>
      <c r="D333" s="9"/>
      <c r="E333" s="9"/>
      <c r="F333" s="9"/>
      <c r="G333" s="9"/>
    </row>
    <row r="334" ht="21.0" customHeight="1">
      <c r="A334" s="9"/>
      <c r="B334" s="9"/>
      <c r="C334" s="9"/>
      <c r="D334" s="9"/>
      <c r="E334" s="9"/>
      <c r="F334" s="9"/>
      <c r="G334" s="9"/>
    </row>
    <row r="335" ht="21.0" customHeight="1">
      <c r="A335" s="9"/>
      <c r="B335" s="9"/>
      <c r="C335" s="9"/>
      <c r="D335" s="9"/>
      <c r="E335" s="9"/>
      <c r="F335" s="9"/>
      <c r="G335" s="9"/>
    </row>
    <row r="336" ht="21.0" customHeight="1">
      <c r="A336" s="9"/>
      <c r="B336" s="9"/>
      <c r="C336" s="9"/>
      <c r="D336" s="9"/>
      <c r="E336" s="9"/>
      <c r="F336" s="9"/>
      <c r="G336" s="9"/>
    </row>
    <row r="337" ht="21.0" customHeight="1">
      <c r="A337" s="9"/>
      <c r="B337" s="9"/>
      <c r="C337" s="9"/>
      <c r="D337" s="9"/>
      <c r="E337" s="9"/>
      <c r="F337" s="9"/>
      <c r="G337" s="9"/>
    </row>
    <row r="338" ht="21.0" customHeight="1">
      <c r="A338" s="9"/>
      <c r="B338" s="9"/>
      <c r="C338" s="9"/>
      <c r="D338" s="9"/>
      <c r="E338" s="9"/>
      <c r="F338" s="9"/>
      <c r="G338" s="9"/>
    </row>
    <row r="339" ht="21.0" customHeight="1">
      <c r="A339" s="9"/>
      <c r="B339" s="9"/>
      <c r="C339" s="9"/>
      <c r="D339" s="9"/>
      <c r="E339" s="9"/>
      <c r="F339" s="9"/>
      <c r="G339" s="9"/>
    </row>
    <row r="340" ht="21.0" customHeight="1">
      <c r="A340" s="9"/>
      <c r="B340" s="9"/>
      <c r="C340" s="9"/>
      <c r="D340" s="9"/>
      <c r="E340" s="9"/>
      <c r="F340" s="9"/>
      <c r="G340" s="9"/>
    </row>
    <row r="341" ht="21.0" customHeight="1">
      <c r="A341" s="9"/>
      <c r="B341" s="9"/>
      <c r="C341" s="9"/>
      <c r="D341" s="9"/>
      <c r="E341" s="9"/>
      <c r="F341" s="9"/>
      <c r="G341" s="9"/>
    </row>
    <row r="342" ht="21.0" customHeight="1">
      <c r="A342" s="9"/>
      <c r="B342" s="9"/>
      <c r="C342" s="9"/>
      <c r="D342" s="9"/>
      <c r="E342" s="9"/>
      <c r="F342" s="9"/>
      <c r="G342" s="9"/>
    </row>
    <row r="343" ht="21.0" customHeight="1">
      <c r="A343" s="9"/>
      <c r="B343" s="9"/>
      <c r="C343" s="9"/>
      <c r="D343" s="9"/>
      <c r="E343" s="9"/>
      <c r="F343" s="9"/>
      <c r="G343" s="9"/>
    </row>
    <row r="344" ht="21.0" customHeight="1">
      <c r="A344" s="9"/>
      <c r="B344" s="9"/>
      <c r="C344" s="9"/>
      <c r="D344" s="9"/>
      <c r="E344" s="9"/>
      <c r="F344" s="9"/>
      <c r="G344" s="9"/>
    </row>
    <row r="345" ht="21.0" customHeight="1">
      <c r="A345" s="9"/>
      <c r="B345" s="9"/>
      <c r="C345" s="9"/>
      <c r="D345" s="9"/>
      <c r="E345" s="9"/>
      <c r="F345" s="9"/>
      <c r="G345" s="9"/>
    </row>
    <row r="346" ht="21.0" customHeight="1">
      <c r="A346" s="9"/>
      <c r="B346" s="9"/>
      <c r="C346" s="9"/>
      <c r="D346" s="9"/>
      <c r="E346" s="9"/>
      <c r="F346" s="9"/>
      <c r="G346" s="9"/>
    </row>
    <row r="347" ht="21.0" customHeight="1">
      <c r="A347" s="9"/>
      <c r="B347" s="9"/>
      <c r="C347" s="9"/>
      <c r="D347" s="9"/>
      <c r="E347" s="9"/>
      <c r="F347" s="9"/>
      <c r="G347" s="9"/>
    </row>
    <row r="348" ht="21.0" customHeight="1">
      <c r="A348" s="9"/>
      <c r="B348" s="9"/>
      <c r="C348" s="9"/>
      <c r="D348" s="9"/>
      <c r="E348" s="9"/>
      <c r="F348" s="9"/>
      <c r="G348" s="9"/>
    </row>
    <row r="349" ht="21.0" customHeight="1">
      <c r="A349" s="9"/>
      <c r="B349" s="9"/>
      <c r="C349" s="9"/>
      <c r="D349" s="9"/>
      <c r="E349" s="9"/>
      <c r="F349" s="9"/>
      <c r="G349" s="9"/>
    </row>
    <row r="350" ht="21.0" customHeight="1">
      <c r="A350" s="9"/>
      <c r="B350" s="9"/>
      <c r="C350" s="9"/>
      <c r="D350" s="9"/>
      <c r="E350" s="9"/>
      <c r="F350" s="9"/>
      <c r="G350" s="9"/>
    </row>
    <row r="351" ht="21.0" customHeight="1">
      <c r="A351" s="9"/>
      <c r="B351" s="9"/>
      <c r="C351" s="9"/>
      <c r="D351" s="9"/>
      <c r="E351" s="9"/>
      <c r="F351" s="9"/>
      <c r="G351" s="9"/>
    </row>
    <row r="352" ht="21.0" customHeight="1">
      <c r="A352" s="9"/>
      <c r="B352" s="9"/>
      <c r="C352" s="9"/>
      <c r="D352" s="9"/>
      <c r="E352" s="9"/>
      <c r="F352" s="9"/>
      <c r="G352" s="9"/>
    </row>
    <row r="353" ht="21.0" customHeight="1">
      <c r="A353" s="9"/>
      <c r="B353" s="9"/>
      <c r="C353" s="9"/>
      <c r="D353" s="9"/>
      <c r="E353" s="9"/>
      <c r="F353" s="9"/>
      <c r="G353" s="9"/>
    </row>
    <row r="354" ht="21.0" customHeight="1">
      <c r="A354" s="9"/>
      <c r="B354" s="9"/>
      <c r="C354" s="9"/>
      <c r="D354" s="9"/>
      <c r="E354" s="9"/>
      <c r="F354" s="9"/>
      <c r="G354" s="9"/>
    </row>
    <row r="355" ht="21.0" customHeight="1">
      <c r="A355" s="9"/>
      <c r="B355" s="9"/>
      <c r="C355" s="9"/>
      <c r="D355" s="9"/>
      <c r="E355" s="9"/>
      <c r="F355" s="9"/>
      <c r="G355" s="9"/>
    </row>
    <row r="356" ht="21.0" customHeight="1">
      <c r="A356" s="9"/>
      <c r="B356" s="9"/>
      <c r="C356" s="9"/>
      <c r="D356" s="9"/>
      <c r="E356" s="9"/>
      <c r="F356" s="9"/>
      <c r="G356" s="9"/>
    </row>
    <row r="357" ht="21.0" customHeight="1">
      <c r="A357" s="9"/>
      <c r="B357" s="9"/>
      <c r="C357" s="9"/>
      <c r="D357" s="9"/>
      <c r="E357" s="9"/>
      <c r="F357" s="9"/>
      <c r="G357" s="9"/>
    </row>
    <row r="358" ht="21.0" customHeight="1">
      <c r="A358" s="9"/>
      <c r="B358" s="9"/>
      <c r="C358" s="9"/>
      <c r="D358" s="9"/>
      <c r="E358" s="9"/>
      <c r="F358" s="9"/>
      <c r="G358" s="9"/>
    </row>
    <row r="359" ht="21.0" customHeight="1">
      <c r="A359" s="9"/>
      <c r="B359" s="9"/>
      <c r="C359" s="9"/>
      <c r="D359" s="9"/>
      <c r="E359" s="9"/>
      <c r="F359" s="9"/>
      <c r="G359" s="9"/>
    </row>
    <row r="360" ht="21.0" customHeight="1">
      <c r="A360" s="9"/>
      <c r="B360" s="9"/>
      <c r="C360" s="9"/>
      <c r="D360" s="9"/>
      <c r="E360" s="9"/>
      <c r="F360" s="9"/>
      <c r="G360" s="9"/>
    </row>
    <row r="361" ht="21.0" customHeight="1">
      <c r="A361" s="9"/>
      <c r="B361" s="9"/>
      <c r="C361" s="9"/>
      <c r="D361" s="9"/>
      <c r="E361" s="9"/>
      <c r="F361" s="9"/>
      <c r="G361" s="9"/>
    </row>
    <row r="362" ht="21.0" customHeight="1">
      <c r="A362" s="9"/>
      <c r="B362" s="9"/>
      <c r="C362" s="9"/>
      <c r="D362" s="9"/>
      <c r="E362" s="9"/>
      <c r="F362" s="9"/>
      <c r="G362" s="9"/>
    </row>
    <row r="363" ht="21.0" customHeight="1">
      <c r="A363" s="9"/>
      <c r="B363" s="9"/>
      <c r="C363" s="9"/>
      <c r="D363" s="9"/>
      <c r="E363" s="9"/>
      <c r="F363" s="9"/>
      <c r="G363" s="9"/>
    </row>
    <row r="364" ht="21.0" customHeight="1">
      <c r="A364" s="9"/>
      <c r="B364" s="9"/>
      <c r="C364" s="9"/>
      <c r="D364" s="9"/>
      <c r="E364" s="9"/>
      <c r="F364" s="9"/>
      <c r="G364" s="9"/>
    </row>
    <row r="365" ht="21.0" customHeight="1">
      <c r="A365" s="9"/>
      <c r="B365" s="9"/>
      <c r="C365" s="9"/>
      <c r="D365" s="9"/>
      <c r="E365" s="9"/>
      <c r="F365" s="9"/>
      <c r="G365" s="9"/>
    </row>
    <row r="366" ht="21.0" customHeight="1">
      <c r="A366" s="9"/>
      <c r="B366" s="9"/>
      <c r="C366" s="9"/>
      <c r="D366" s="9"/>
      <c r="E366" s="9"/>
      <c r="F366" s="9"/>
      <c r="G366" s="9"/>
    </row>
    <row r="367" ht="21.0" customHeight="1">
      <c r="A367" s="9"/>
      <c r="B367" s="9"/>
      <c r="C367" s="9"/>
      <c r="D367" s="9"/>
      <c r="E367" s="9"/>
      <c r="F367" s="9"/>
      <c r="G367" s="9"/>
    </row>
    <row r="368" ht="21.0" customHeight="1">
      <c r="A368" s="9"/>
      <c r="B368" s="9"/>
      <c r="C368" s="9"/>
      <c r="D368" s="9"/>
      <c r="E368" s="9"/>
      <c r="F368" s="9"/>
      <c r="G368" s="9"/>
    </row>
    <row r="369" ht="21.0" customHeight="1">
      <c r="A369" s="9"/>
      <c r="B369" s="9"/>
      <c r="C369" s="9"/>
      <c r="D369" s="9"/>
      <c r="E369" s="9"/>
      <c r="F369" s="9"/>
      <c r="G369" s="9"/>
    </row>
    <row r="370" ht="21.0" customHeight="1">
      <c r="A370" s="9"/>
      <c r="B370" s="9"/>
      <c r="C370" s="9"/>
      <c r="D370" s="9"/>
      <c r="E370" s="9"/>
      <c r="F370" s="9"/>
      <c r="G370" s="9"/>
    </row>
    <row r="371" ht="21.0" customHeight="1">
      <c r="A371" s="9"/>
      <c r="B371" s="9"/>
      <c r="C371" s="9"/>
      <c r="D371" s="9"/>
      <c r="E371" s="9"/>
      <c r="F371" s="9"/>
      <c r="G371" s="9"/>
    </row>
    <row r="372" ht="21.0" customHeight="1">
      <c r="A372" s="9"/>
      <c r="B372" s="9"/>
      <c r="C372" s="9"/>
      <c r="D372" s="9"/>
      <c r="E372" s="9"/>
      <c r="F372" s="9"/>
      <c r="G372" s="9"/>
    </row>
    <row r="373" ht="21.0" customHeight="1">
      <c r="A373" s="9"/>
      <c r="B373" s="9"/>
      <c r="C373" s="9"/>
      <c r="D373" s="9"/>
      <c r="E373" s="9"/>
      <c r="F373" s="9"/>
      <c r="G373" s="9"/>
    </row>
    <row r="374" ht="21.0" customHeight="1">
      <c r="A374" s="9"/>
      <c r="B374" s="9"/>
      <c r="C374" s="9"/>
      <c r="D374" s="9"/>
      <c r="E374" s="9"/>
      <c r="F374" s="9"/>
      <c r="G374" s="9"/>
    </row>
    <row r="375" ht="21.0" customHeight="1">
      <c r="A375" s="9"/>
      <c r="B375" s="9"/>
      <c r="C375" s="9"/>
      <c r="D375" s="9"/>
      <c r="E375" s="9"/>
      <c r="F375" s="9"/>
      <c r="G375" s="9"/>
    </row>
    <row r="376" ht="21.0" customHeight="1">
      <c r="A376" s="9"/>
      <c r="B376" s="9"/>
      <c r="C376" s="9"/>
      <c r="D376" s="9"/>
      <c r="E376" s="9"/>
      <c r="F376" s="9"/>
      <c r="G376" s="9"/>
    </row>
    <row r="377" ht="21.0" customHeight="1">
      <c r="A377" s="9"/>
      <c r="B377" s="9"/>
      <c r="C377" s="9"/>
      <c r="D377" s="9"/>
      <c r="E377" s="9"/>
      <c r="F377" s="9"/>
      <c r="G377" s="9"/>
    </row>
    <row r="378" ht="21.0" customHeight="1">
      <c r="A378" s="9"/>
      <c r="B378" s="9"/>
      <c r="C378" s="9"/>
      <c r="D378" s="9"/>
      <c r="E378" s="9"/>
      <c r="F378" s="9"/>
      <c r="G378" s="9"/>
    </row>
    <row r="379" ht="21.0" customHeight="1">
      <c r="A379" s="9"/>
      <c r="B379" s="9"/>
      <c r="C379" s="9"/>
      <c r="D379" s="9"/>
      <c r="E379" s="9"/>
      <c r="F379" s="9"/>
      <c r="G379" s="9"/>
    </row>
    <row r="380" ht="21.0" customHeight="1">
      <c r="A380" s="9"/>
      <c r="B380" s="9"/>
      <c r="C380" s="9"/>
      <c r="D380" s="9"/>
      <c r="E380" s="9"/>
      <c r="F380" s="9"/>
      <c r="G380" s="9"/>
    </row>
    <row r="381" ht="21.0" customHeight="1">
      <c r="A381" s="9"/>
      <c r="B381" s="9"/>
      <c r="C381" s="9"/>
      <c r="D381" s="9"/>
      <c r="E381" s="9"/>
      <c r="F381" s="9"/>
      <c r="G381" s="9"/>
    </row>
    <row r="382" ht="21.0" customHeight="1">
      <c r="A382" s="9"/>
      <c r="B382" s="9"/>
      <c r="C382" s="9"/>
      <c r="D382" s="9"/>
      <c r="E382" s="9"/>
      <c r="F382" s="9"/>
      <c r="G382" s="9"/>
    </row>
    <row r="383" ht="21.0" customHeight="1">
      <c r="A383" s="9"/>
      <c r="B383" s="9"/>
      <c r="C383" s="9"/>
      <c r="D383" s="9"/>
      <c r="E383" s="9"/>
      <c r="F383" s="9"/>
      <c r="G383" s="9"/>
    </row>
    <row r="384" ht="21.0" customHeight="1">
      <c r="A384" s="9"/>
      <c r="B384" s="9"/>
      <c r="C384" s="9"/>
      <c r="D384" s="9"/>
      <c r="E384" s="9"/>
      <c r="F384" s="9"/>
      <c r="G384" s="9"/>
    </row>
    <row r="385" ht="21.0" customHeight="1">
      <c r="A385" s="9"/>
      <c r="B385" s="9"/>
      <c r="C385" s="9"/>
      <c r="D385" s="9"/>
      <c r="E385" s="9"/>
      <c r="F385" s="9"/>
      <c r="G385" s="9"/>
    </row>
    <row r="386" ht="21.0" customHeight="1">
      <c r="A386" s="9"/>
      <c r="B386" s="9"/>
      <c r="C386" s="9"/>
      <c r="D386" s="9"/>
      <c r="E386" s="9"/>
      <c r="F386" s="9"/>
      <c r="G386" s="9"/>
    </row>
    <row r="387" ht="21.0" customHeight="1">
      <c r="A387" s="9"/>
      <c r="B387" s="9"/>
      <c r="C387" s="9"/>
      <c r="D387" s="9"/>
      <c r="E387" s="9"/>
      <c r="F387" s="9"/>
      <c r="G387" s="9"/>
    </row>
    <row r="388" ht="21.0" customHeight="1">
      <c r="A388" s="9"/>
      <c r="B388" s="9"/>
      <c r="C388" s="9"/>
      <c r="D388" s="9"/>
      <c r="E388" s="9"/>
      <c r="F388" s="9"/>
      <c r="G388" s="9"/>
    </row>
    <row r="389" ht="21.0" customHeight="1">
      <c r="A389" s="9"/>
      <c r="B389" s="9"/>
      <c r="C389" s="9"/>
      <c r="D389" s="9"/>
      <c r="E389" s="9"/>
      <c r="F389" s="9"/>
      <c r="G389" s="9"/>
    </row>
    <row r="390" ht="21.0" customHeight="1">
      <c r="A390" s="9"/>
      <c r="B390" s="9"/>
      <c r="C390" s="9"/>
      <c r="D390" s="9"/>
      <c r="E390" s="9"/>
      <c r="F390" s="9"/>
      <c r="G390" s="9"/>
    </row>
    <row r="391" ht="21.0" customHeight="1">
      <c r="A391" s="9"/>
      <c r="B391" s="9"/>
      <c r="C391" s="9"/>
      <c r="D391" s="9"/>
      <c r="E391" s="9"/>
      <c r="F391" s="9"/>
      <c r="G391" s="9"/>
    </row>
    <row r="392" ht="21.0" customHeight="1">
      <c r="A392" s="9"/>
      <c r="B392" s="9"/>
      <c r="C392" s="9"/>
      <c r="D392" s="9"/>
      <c r="E392" s="9"/>
      <c r="F392" s="9"/>
      <c r="G392" s="9"/>
    </row>
    <row r="393" ht="21.0" customHeight="1">
      <c r="A393" s="9"/>
      <c r="B393" s="9"/>
      <c r="C393" s="9"/>
      <c r="D393" s="9"/>
      <c r="E393" s="9"/>
      <c r="F393" s="9"/>
      <c r="G393" s="9"/>
    </row>
    <row r="394" ht="21.0" customHeight="1">
      <c r="A394" s="9"/>
      <c r="B394" s="9"/>
      <c r="C394" s="9"/>
      <c r="D394" s="9"/>
      <c r="E394" s="9"/>
      <c r="F394" s="9"/>
      <c r="G394" s="9"/>
    </row>
    <row r="395" ht="21.0" customHeight="1">
      <c r="A395" s="9"/>
      <c r="B395" s="9"/>
      <c r="C395" s="9"/>
      <c r="D395" s="9"/>
      <c r="E395" s="9"/>
      <c r="F395" s="9"/>
      <c r="G395" s="9"/>
    </row>
    <row r="396" ht="21.0" customHeight="1">
      <c r="A396" s="9"/>
      <c r="B396" s="9"/>
      <c r="C396" s="9"/>
      <c r="D396" s="9"/>
      <c r="E396" s="9"/>
      <c r="F396" s="9"/>
      <c r="G396" s="9"/>
    </row>
    <row r="397" ht="21.0" customHeight="1">
      <c r="A397" s="9"/>
      <c r="B397" s="9"/>
      <c r="C397" s="9"/>
      <c r="D397" s="9"/>
      <c r="E397" s="9"/>
      <c r="F397" s="9"/>
      <c r="G397" s="9"/>
    </row>
    <row r="398" ht="21.0" customHeight="1">
      <c r="A398" s="9"/>
      <c r="B398" s="9"/>
      <c r="C398" s="9"/>
      <c r="D398" s="9"/>
      <c r="E398" s="9"/>
      <c r="F398" s="9"/>
      <c r="G398" s="9"/>
    </row>
    <row r="399" ht="21.0" customHeight="1">
      <c r="A399" s="9"/>
      <c r="B399" s="9"/>
      <c r="C399" s="9"/>
      <c r="D399" s="9"/>
      <c r="E399" s="9"/>
      <c r="F399" s="9"/>
      <c r="G399" s="9"/>
    </row>
    <row r="400" ht="21.0" customHeight="1">
      <c r="A400" s="9"/>
      <c r="B400" s="9"/>
      <c r="C400" s="9"/>
      <c r="D400" s="9"/>
      <c r="E400" s="9"/>
      <c r="F400" s="9"/>
      <c r="G400" s="9"/>
    </row>
    <row r="401" ht="21.0" customHeight="1">
      <c r="A401" s="9"/>
      <c r="B401" s="9"/>
      <c r="C401" s="9"/>
      <c r="D401" s="9"/>
      <c r="E401" s="9"/>
      <c r="F401" s="9"/>
      <c r="G401" s="9"/>
    </row>
    <row r="402" ht="21.0" customHeight="1">
      <c r="A402" s="9"/>
      <c r="B402" s="9"/>
      <c r="C402" s="9"/>
      <c r="D402" s="9"/>
      <c r="E402" s="9"/>
      <c r="F402" s="9"/>
      <c r="G402" s="9"/>
    </row>
    <row r="403" ht="21.0" customHeight="1">
      <c r="A403" s="9"/>
      <c r="B403" s="9"/>
      <c r="C403" s="9"/>
      <c r="D403" s="9"/>
      <c r="E403" s="9"/>
      <c r="F403" s="9"/>
      <c r="G403" s="9"/>
    </row>
    <row r="404" ht="21.0" customHeight="1">
      <c r="A404" s="9"/>
      <c r="B404" s="9"/>
      <c r="C404" s="9"/>
      <c r="D404" s="9"/>
      <c r="E404" s="9"/>
      <c r="F404" s="9"/>
      <c r="G404" s="9"/>
    </row>
    <row r="405" ht="21.0" customHeight="1">
      <c r="A405" s="9"/>
      <c r="B405" s="9"/>
      <c r="C405" s="9"/>
      <c r="D405" s="9"/>
      <c r="E405" s="9"/>
      <c r="F405" s="9"/>
      <c r="G405" s="9"/>
    </row>
    <row r="406" ht="21.0" customHeight="1">
      <c r="A406" s="9"/>
      <c r="B406" s="9"/>
      <c r="C406" s="9"/>
      <c r="D406" s="9"/>
      <c r="E406" s="9"/>
      <c r="F406" s="9"/>
      <c r="G406" s="9"/>
    </row>
    <row r="407" ht="21.0" customHeight="1">
      <c r="A407" s="9"/>
      <c r="B407" s="9"/>
      <c r="C407" s="9"/>
      <c r="D407" s="9"/>
      <c r="E407" s="9"/>
      <c r="F407" s="9"/>
      <c r="G407" s="9"/>
    </row>
    <row r="408" ht="21.0" customHeight="1">
      <c r="A408" s="9"/>
      <c r="B408" s="9"/>
      <c r="C408" s="9"/>
      <c r="D408" s="9"/>
      <c r="E408" s="9"/>
      <c r="F408" s="9"/>
      <c r="G408" s="9"/>
    </row>
    <row r="409" ht="21.0" customHeight="1">
      <c r="A409" s="9"/>
      <c r="B409" s="9"/>
      <c r="C409" s="9"/>
      <c r="D409" s="9"/>
      <c r="E409" s="9"/>
      <c r="F409" s="9"/>
      <c r="G409" s="9"/>
    </row>
    <row r="410" ht="21.0" customHeight="1">
      <c r="A410" s="9"/>
      <c r="B410" s="9"/>
      <c r="C410" s="9"/>
      <c r="D410" s="9"/>
      <c r="E410" s="9"/>
      <c r="F410" s="9"/>
      <c r="G410" s="9"/>
    </row>
    <row r="411" ht="21.0" customHeight="1">
      <c r="A411" s="9"/>
      <c r="B411" s="9"/>
      <c r="C411" s="9"/>
      <c r="D411" s="9"/>
      <c r="E411" s="9"/>
      <c r="F411" s="9"/>
      <c r="G411" s="9"/>
    </row>
    <row r="412" ht="21.0" customHeight="1">
      <c r="A412" s="9"/>
      <c r="B412" s="9"/>
      <c r="C412" s="9"/>
      <c r="D412" s="9"/>
      <c r="E412" s="9"/>
      <c r="F412" s="9"/>
      <c r="G412" s="9"/>
    </row>
    <row r="413" ht="21.0" customHeight="1">
      <c r="A413" s="9"/>
      <c r="B413" s="9"/>
      <c r="C413" s="9"/>
      <c r="D413" s="9"/>
      <c r="E413" s="9"/>
      <c r="F413" s="9"/>
      <c r="G413" s="9"/>
    </row>
    <row r="414" ht="21.0" customHeight="1">
      <c r="A414" s="9"/>
      <c r="B414" s="9"/>
      <c r="C414" s="9"/>
      <c r="D414" s="9"/>
      <c r="E414" s="9"/>
      <c r="F414" s="9"/>
      <c r="G414" s="9"/>
    </row>
    <row r="415" ht="21.0" customHeight="1">
      <c r="A415" s="9"/>
      <c r="B415" s="9"/>
      <c r="C415" s="9"/>
      <c r="D415" s="9"/>
      <c r="E415" s="9"/>
      <c r="F415" s="9"/>
      <c r="G415" s="9"/>
    </row>
    <row r="416" ht="21.0" customHeight="1">
      <c r="A416" s="9"/>
      <c r="B416" s="9"/>
      <c r="C416" s="9"/>
      <c r="D416" s="9"/>
      <c r="E416" s="9"/>
      <c r="F416" s="9"/>
      <c r="G416" s="9"/>
    </row>
    <row r="417" ht="21.0" customHeight="1">
      <c r="A417" s="9"/>
      <c r="B417" s="9"/>
      <c r="C417" s="9"/>
      <c r="D417" s="9"/>
      <c r="E417" s="9"/>
      <c r="F417" s="9"/>
      <c r="G417" s="9"/>
    </row>
    <row r="418" ht="21.0" customHeight="1">
      <c r="A418" s="9"/>
      <c r="B418" s="9"/>
      <c r="C418" s="9"/>
      <c r="D418" s="9"/>
      <c r="E418" s="9"/>
      <c r="F418" s="9"/>
      <c r="G418" s="9"/>
    </row>
    <row r="419" ht="21.0" customHeight="1">
      <c r="A419" s="9"/>
      <c r="B419" s="9"/>
      <c r="C419" s="9"/>
      <c r="D419" s="9"/>
      <c r="E419" s="9"/>
      <c r="F419" s="9"/>
      <c r="G419" s="9"/>
    </row>
    <row r="420" ht="21.0" customHeight="1">
      <c r="A420" s="9"/>
      <c r="B420" s="9"/>
      <c r="C420" s="9"/>
      <c r="D420" s="9"/>
      <c r="E420" s="9"/>
      <c r="F420" s="9"/>
      <c r="G420" s="9"/>
    </row>
    <row r="421" ht="21.0" customHeight="1">
      <c r="A421" s="9"/>
      <c r="B421" s="9"/>
      <c r="C421" s="9"/>
      <c r="D421" s="9"/>
      <c r="E421" s="9"/>
      <c r="F421" s="9"/>
      <c r="G421" s="9"/>
    </row>
    <row r="422" ht="21.0" customHeight="1">
      <c r="A422" s="9"/>
      <c r="B422" s="9"/>
      <c r="C422" s="9"/>
      <c r="D422" s="9"/>
      <c r="E422" s="9"/>
      <c r="F422" s="9"/>
      <c r="G422" s="9"/>
    </row>
    <row r="423" ht="21.0" customHeight="1">
      <c r="A423" s="9"/>
      <c r="B423" s="9"/>
      <c r="C423" s="9"/>
      <c r="D423" s="9"/>
      <c r="E423" s="9"/>
      <c r="F423" s="9"/>
      <c r="G423" s="9"/>
    </row>
    <row r="424" ht="21.0" customHeight="1">
      <c r="A424" s="9"/>
      <c r="B424" s="9"/>
      <c r="C424" s="9"/>
      <c r="D424" s="9"/>
      <c r="E424" s="9"/>
      <c r="F424" s="9"/>
      <c r="G424" s="9"/>
    </row>
    <row r="425" ht="21.0" customHeight="1">
      <c r="A425" s="9"/>
      <c r="B425" s="9"/>
      <c r="C425" s="9"/>
      <c r="D425" s="9"/>
      <c r="E425" s="9"/>
      <c r="F425" s="9"/>
      <c r="G425" s="9"/>
    </row>
    <row r="426" ht="21.0" customHeight="1">
      <c r="A426" s="9"/>
      <c r="B426" s="9"/>
      <c r="C426" s="9"/>
      <c r="D426" s="9"/>
      <c r="E426" s="9"/>
      <c r="F426" s="9"/>
      <c r="G426" s="9"/>
    </row>
    <row r="427" ht="21.0" customHeight="1">
      <c r="A427" s="9"/>
      <c r="B427" s="9"/>
      <c r="C427" s="9"/>
      <c r="D427" s="9"/>
      <c r="E427" s="9"/>
      <c r="F427" s="9"/>
      <c r="G427" s="9"/>
    </row>
    <row r="428" ht="21.0" customHeight="1">
      <c r="A428" s="9"/>
      <c r="B428" s="9"/>
      <c r="C428" s="9"/>
      <c r="D428" s="9"/>
      <c r="E428" s="9"/>
      <c r="F428" s="9"/>
      <c r="G428" s="9"/>
    </row>
    <row r="429" ht="21.0" customHeight="1">
      <c r="A429" s="9"/>
      <c r="B429" s="9"/>
      <c r="C429" s="9"/>
      <c r="D429" s="9"/>
      <c r="E429" s="9"/>
      <c r="F429" s="9"/>
      <c r="G429" s="9"/>
    </row>
    <row r="430" ht="21.0" customHeight="1">
      <c r="A430" s="9"/>
      <c r="B430" s="9"/>
      <c r="C430" s="9"/>
      <c r="D430" s="9"/>
      <c r="E430" s="9"/>
      <c r="F430" s="9"/>
      <c r="G430" s="9"/>
    </row>
    <row r="431" ht="21.0" customHeight="1">
      <c r="A431" s="9"/>
      <c r="B431" s="9"/>
      <c r="C431" s="9"/>
      <c r="D431" s="9"/>
      <c r="E431" s="9"/>
      <c r="F431" s="9"/>
      <c r="G431" s="9"/>
    </row>
    <row r="432" ht="21.0" customHeight="1">
      <c r="A432" s="9"/>
      <c r="B432" s="9"/>
      <c r="C432" s="9"/>
      <c r="D432" s="9"/>
      <c r="E432" s="9"/>
      <c r="F432" s="9"/>
      <c r="G432" s="9"/>
    </row>
    <row r="433" ht="21.0" customHeight="1">
      <c r="A433" s="9"/>
      <c r="B433" s="9"/>
      <c r="C433" s="9"/>
      <c r="D433" s="9"/>
      <c r="E433" s="9"/>
      <c r="F433" s="9"/>
      <c r="G433" s="9"/>
    </row>
    <row r="434" ht="21.0" customHeight="1">
      <c r="A434" s="9"/>
      <c r="B434" s="9"/>
      <c r="C434" s="9"/>
      <c r="D434" s="9"/>
      <c r="E434" s="9"/>
      <c r="F434" s="9"/>
      <c r="G434" s="9"/>
    </row>
    <row r="435" ht="21.0" customHeight="1">
      <c r="A435" s="9"/>
      <c r="B435" s="9"/>
      <c r="C435" s="9"/>
      <c r="D435" s="9"/>
      <c r="E435" s="9"/>
      <c r="F435" s="9"/>
      <c r="G435" s="9"/>
    </row>
    <row r="436" ht="21.0" customHeight="1">
      <c r="A436" s="9"/>
      <c r="B436" s="9"/>
      <c r="C436" s="9"/>
      <c r="D436" s="9"/>
      <c r="E436" s="9"/>
      <c r="F436" s="9"/>
      <c r="G436" s="9"/>
    </row>
    <row r="437" ht="21.0" customHeight="1">
      <c r="A437" s="9"/>
      <c r="B437" s="9"/>
      <c r="C437" s="9"/>
      <c r="D437" s="9"/>
      <c r="E437" s="9"/>
      <c r="F437" s="9"/>
      <c r="G437" s="9"/>
    </row>
    <row r="438" ht="21.0" customHeight="1">
      <c r="A438" s="9"/>
      <c r="B438" s="9"/>
      <c r="C438" s="9"/>
      <c r="D438" s="9"/>
      <c r="E438" s="9"/>
      <c r="F438" s="9"/>
      <c r="G438" s="9"/>
    </row>
    <row r="439" ht="21.0" customHeight="1">
      <c r="A439" s="9"/>
      <c r="B439" s="9"/>
      <c r="C439" s="9"/>
      <c r="D439" s="9"/>
      <c r="E439" s="9"/>
      <c r="F439" s="9"/>
      <c r="G439" s="9"/>
    </row>
    <row r="440" ht="21.0" customHeight="1">
      <c r="A440" s="9"/>
      <c r="B440" s="9"/>
      <c r="C440" s="9"/>
      <c r="D440" s="9"/>
      <c r="E440" s="9"/>
      <c r="F440" s="9"/>
      <c r="G440" s="9"/>
    </row>
    <row r="441" ht="21.0" customHeight="1">
      <c r="A441" s="9"/>
      <c r="B441" s="9"/>
      <c r="C441" s="9"/>
      <c r="D441" s="9"/>
      <c r="E441" s="9"/>
      <c r="F441" s="9"/>
      <c r="G441" s="9"/>
    </row>
    <row r="442" ht="21.0" customHeight="1">
      <c r="A442" s="9"/>
      <c r="B442" s="9"/>
      <c r="C442" s="9"/>
      <c r="D442" s="9"/>
      <c r="E442" s="9"/>
      <c r="F442" s="9"/>
      <c r="G442" s="9"/>
    </row>
    <row r="443" ht="21.0" customHeight="1">
      <c r="A443" s="9"/>
      <c r="B443" s="9"/>
      <c r="C443" s="9"/>
      <c r="D443" s="9"/>
      <c r="E443" s="9"/>
      <c r="F443" s="9"/>
      <c r="G443" s="9"/>
    </row>
    <row r="444" ht="21.0" customHeight="1">
      <c r="A444" s="9"/>
      <c r="B444" s="9"/>
      <c r="C444" s="9"/>
      <c r="D444" s="9"/>
      <c r="E444" s="9"/>
      <c r="F444" s="9"/>
      <c r="G444" s="9"/>
    </row>
    <row r="445" ht="21.0" customHeight="1">
      <c r="A445" s="9"/>
      <c r="B445" s="9"/>
      <c r="C445" s="9"/>
      <c r="D445" s="9"/>
      <c r="E445" s="9"/>
      <c r="F445" s="9"/>
      <c r="G445" s="9"/>
    </row>
    <row r="446" ht="21.0" customHeight="1">
      <c r="A446" s="9"/>
      <c r="B446" s="9"/>
      <c r="C446" s="9"/>
      <c r="D446" s="9"/>
      <c r="E446" s="9"/>
      <c r="F446" s="9"/>
      <c r="G446" s="9"/>
    </row>
    <row r="447" ht="21.0" customHeight="1">
      <c r="A447" s="9"/>
      <c r="B447" s="9"/>
      <c r="C447" s="9"/>
      <c r="D447" s="9"/>
      <c r="E447" s="9"/>
      <c r="F447" s="9"/>
      <c r="G447" s="9"/>
    </row>
    <row r="448" ht="21.0" customHeight="1">
      <c r="A448" s="9"/>
      <c r="B448" s="9"/>
      <c r="C448" s="9"/>
      <c r="D448" s="9"/>
      <c r="E448" s="9"/>
      <c r="F448" s="9"/>
      <c r="G448" s="9"/>
    </row>
    <row r="449" ht="21.0" customHeight="1">
      <c r="A449" s="9"/>
      <c r="B449" s="9"/>
      <c r="C449" s="9"/>
      <c r="D449" s="9"/>
      <c r="E449" s="9"/>
      <c r="F449" s="9"/>
      <c r="G449" s="9"/>
    </row>
    <row r="450" ht="21.0" customHeight="1">
      <c r="A450" s="9"/>
      <c r="B450" s="9"/>
      <c r="C450" s="9"/>
      <c r="D450" s="9"/>
      <c r="E450" s="9"/>
      <c r="F450" s="9"/>
      <c r="G450" s="9"/>
    </row>
    <row r="451" ht="21.0" customHeight="1">
      <c r="A451" s="9"/>
      <c r="B451" s="9"/>
      <c r="C451" s="9"/>
      <c r="D451" s="9"/>
      <c r="E451" s="9"/>
      <c r="F451" s="9"/>
      <c r="G451" s="9"/>
    </row>
    <row r="452" ht="21.0" customHeight="1">
      <c r="A452" s="9"/>
      <c r="B452" s="9"/>
      <c r="C452" s="9"/>
      <c r="D452" s="9"/>
      <c r="E452" s="9"/>
      <c r="F452" s="9"/>
      <c r="G452" s="9"/>
    </row>
    <row r="453" ht="21.0" customHeight="1">
      <c r="A453" s="9"/>
      <c r="B453" s="9"/>
      <c r="C453" s="9"/>
      <c r="D453" s="9"/>
      <c r="E453" s="9"/>
      <c r="F453" s="9"/>
      <c r="G453" s="9"/>
    </row>
    <row r="454" ht="21.0" customHeight="1">
      <c r="A454" s="9"/>
      <c r="B454" s="9"/>
      <c r="C454" s="9"/>
      <c r="D454" s="9"/>
      <c r="E454" s="9"/>
      <c r="F454" s="9"/>
      <c r="G454" s="9"/>
    </row>
    <row r="455" ht="21.0" customHeight="1">
      <c r="A455" s="9"/>
      <c r="B455" s="9"/>
      <c r="C455" s="9"/>
      <c r="D455" s="9"/>
      <c r="E455" s="9"/>
      <c r="F455" s="9"/>
      <c r="G455" s="9"/>
    </row>
    <row r="456" ht="21.0" customHeight="1">
      <c r="A456" s="9"/>
      <c r="B456" s="9"/>
      <c r="C456" s="9"/>
      <c r="D456" s="9"/>
      <c r="E456" s="9"/>
      <c r="F456" s="9"/>
      <c r="G456" s="9"/>
    </row>
    <row r="457" ht="21.0" customHeight="1">
      <c r="A457" s="9"/>
      <c r="B457" s="9"/>
      <c r="C457" s="9"/>
      <c r="D457" s="9"/>
      <c r="E457" s="9"/>
      <c r="F457" s="9"/>
      <c r="G457" s="9"/>
    </row>
    <row r="458" ht="21.0" customHeight="1">
      <c r="A458" s="9"/>
      <c r="B458" s="9"/>
      <c r="C458" s="9"/>
      <c r="D458" s="9"/>
      <c r="E458" s="9"/>
      <c r="F458" s="9"/>
      <c r="G458" s="9"/>
    </row>
    <row r="459" ht="21.0" customHeight="1">
      <c r="A459" s="9"/>
      <c r="B459" s="9"/>
      <c r="C459" s="9"/>
      <c r="D459" s="9"/>
      <c r="E459" s="9"/>
      <c r="F459" s="9"/>
      <c r="G459" s="9"/>
    </row>
    <row r="460" ht="21.0" customHeight="1">
      <c r="A460" s="9"/>
      <c r="B460" s="9"/>
      <c r="C460" s="9"/>
      <c r="D460" s="9"/>
      <c r="E460" s="9"/>
      <c r="F460" s="9"/>
      <c r="G460" s="9"/>
    </row>
    <row r="461" ht="21.0" customHeight="1">
      <c r="A461" s="9"/>
      <c r="B461" s="9"/>
      <c r="C461" s="9"/>
      <c r="D461" s="9"/>
      <c r="E461" s="9"/>
      <c r="F461" s="9"/>
      <c r="G461" s="9"/>
    </row>
    <row r="462" ht="21.0" customHeight="1">
      <c r="A462" s="9"/>
      <c r="B462" s="9"/>
      <c r="C462" s="9"/>
      <c r="D462" s="9"/>
      <c r="E462" s="9"/>
      <c r="F462" s="9"/>
      <c r="G462" s="9"/>
    </row>
    <row r="463" ht="21.0" customHeight="1">
      <c r="A463" s="9"/>
      <c r="B463" s="9"/>
      <c r="C463" s="9"/>
      <c r="D463" s="9"/>
      <c r="E463" s="9"/>
      <c r="F463" s="9"/>
      <c r="G463" s="9"/>
    </row>
    <row r="464" ht="21.0" customHeight="1">
      <c r="A464" s="9"/>
      <c r="B464" s="9"/>
      <c r="C464" s="9"/>
      <c r="D464" s="9"/>
      <c r="E464" s="9"/>
      <c r="F464" s="9"/>
      <c r="G464" s="9"/>
    </row>
    <row r="465" ht="21.0" customHeight="1">
      <c r="A465" s="9"/>
      <c r="B465" s="9"/>
      <c r="C465" s="9"/>
      <c r="D465" s="9"/>
      <c r="E465" s="9"/>
      <c r="F465" s="9"/>
      <c r="G465" s="9"/>
    </row>
    <row r="466" ht="21.0" customHeight="1">
      <c r="A466" s="9"/>
      <c r="B466" s="9"/>
      <c r="C466" s="9"/>
      <c r="D466" s="9"/>
      <c r="E466" s="9"/>
      <c r="F466" s="9"/>
      <c r="G466" s="9"/>
    </row>
    <row r="467" ht="21.0" customHeight="1">
      <c r="A467" s="9"/>
      <c r="B467" s="9"/>
      <c r="C467" s="9"/>
      <c r="D467" s="9"/>
      <c r="E467" s="9"/>
      <c r="F467" s="9"/>
      <c r="G467" s="9"/>
    </row>
    <row r="468" ht="21.0" customHeight="1">
      <c r="A468" s="9"/>
      <c r="B468" s="9"/>
      <c r="C468" s="9"/>
      <c r="D468" s="9"/>
      <c r="E468" s="9"/>
      <c r="F468" s="9"/>
      <c r="G468" s="9"/>
    </row>
    <row r="469" ht="21.0" customHeight="1">
      <c r="A469" s="9"/>
      <c r="B469" s="9"/>
      <c r="C469" s="9"/>
      <c r="D469" s="9"/>
      <c r="E469" s="9"/>
      <c r="F469" s="9"/>
      <c r="G469" s="9"/>
    </row>
    <row r="470" ht="21.0" customHeight="1">
      <c r="A470" s="9"/>
      <c r="B470" s="9"/>
      <c r="C470" s="9"/>
      <c r="D470" s="9"/>
      <c r="E470" s="9"/>
      <c r="F470" s="9"/>
      <c r="G470" s="9"/>
    </row>
    <row r="471" ht="21.0" customHeight="1">
      <c r="A471" s="9"/>
      <c r="B471" s="9"/>
      <c r="C471" s="9"/>
      <c r="D471" s="9"/>
      <c r="E471" s="9"/>
      <c r="F471" s="9"/>
      <c r="G471" s="9"/>
    </row>
    <row r="472" ht="21.0" customHeight="1">
      <c r="A472" s="9"/>
      <c r="B472" s="9"/>
      <c r="C472" s="9"/>
      <c r="D472" s="9"/>
      <c r="E472" s="9"/>
      <c r="F472" s="9"/>
      <c r="G472" s="9"/>
    </row>
    <row r="473" ht="21.0" customHeight="1">
      <c r="A473" s="9"/>
      <c r="B473" s="9"/>
      <c r="C473" s="9"/>
      <c r="D473" s="9"/>
      <c r="E473" s="9"/>
      <c r="F473" s="9"/>
      <c r="G473" s="9"/>
    </row>
    <row r="474" ht="21.0" customHeight="1">
      <c r="A474" s="9"/>
      <c r="B474" s="9"/>
      <c r="C474" s="9"/>
      <c r="D474" s="9"/>
      <c r="E474" s="9"/>
      <c r="F474" s="9"/>
      <c r="G474" s="9"/>
    </row>
    <row r="475" ht="21.0" customHeight="1">
      <c r="A475" s="9"/>
      <c r="B475" s="9"/>
      <c r="C475" s="9"/>
      <c r="D475" s="9"/>
      <c r="E475" s="9"/>
      <c r="F475" s="9"/>
      <c r="G475" s="9"/>
    </row>
    <row r="476" ht="21.0" customHeight="1">
      <c r="A476" s="9"/>
      <c r="B476" s="9"/>
      <c r="C476" s="9"/>
      <c r="D476" s="9"/>
      <c r="E476" s="9"/>
      <c r="F476" s="9"/>
      <c r="G476" s="9"/>
    </row>
    <row r="477" ht="21.0" customHeight="1">
      <c r="A477" s="9"/>
      <c r="B477" s="9"/>
      <c r="C477" s="9"/>
      <c r="D477" s="9"/>
      <c r="E477" s="9"/>
      <c r="F477" s="9"/>
      <c r="G477" s="9"/>
    </row>
    <row r="478" ht="21.0" customHeight="1">
      <c r="A478" s="9"/>
      <c r="B478" s="9"/>
      <c r="C478" s="9"/>
      <c r="D478" s="9"/>
      <c r="E478" s="9"/>
      <c r="F478" s="9"/>
      <c r="G478" s="9"/>
    </row>
    <row r="479" ht="21.0" customHeight="1">
      <c r="A479" s="9"/>
      <c r="B479" s="9"/>
      <c r="C479" s="9"/>
      <c r="D479" s="9"/>
      <c r="E479" s="9"/>
      <c r="F479" s="9"/>
      <c r="G479" s="9"/>
    </row>
    <row r="480" ht="21.0" customHeight="1">
      <c r="A480" s="9"/>
      <c r="B480" s="9"/>
      <c r="C480" s="9"/>
      <c r="D480" s="9"/>
      <c r="E480" s="9"/>
      <c r="F480" s="9"/>
      <c r="G480" s="9"/>
    </row>
    <row r="481" ht="21.0" customHeight="1">
      <c r="A481" s="9"/>
      <c r="B481" s="9"/>
      <c r="C481" s="9"/>
      <c r="D481" s="9"/>
      <c r="E481" s="9"/>
      <c r="F481" s="9"/>
      <c r="G481" s="9"/>
    </row>
    <row r="482" ht="21.0" customHeight="1">
      <c r="A482" s="9"/>
      <c r="B482" s="9"/>
      <c r="C482" s="9"/>
      <c r="D482" s="9"/>
      <c r="E482" s="9"/>
      <c r="F482" s="9"/>
      <c r="G482" s="9"/>
    </row>
    <row r="483" ht="21.0" customHeight="1">
      <c r="A483" s="9"/>
      <c r="B483" s="9"/>
      <c r="C483" s="9"/>
      <c r="D483" s="9"/>
      <c r="E483" s="9"/>
      <c r="F483" s="9"/>
      <c r="G483" s="9"/>
    </row>
    <row r="484" ht="21.0" customHeight="1">
      <c r="A484" s="9"/>
      <c r="B484" s="9"/>
      <c r="C484" s="9"/>
      <c r="D484" s="9"/>
      <c r="E484" s="9"/>
      <c r="F484" s="9"/>
      <c r="G484" s="9"/>
    </row>
    <row r="485" ht="21.0" customHeight="1">
      <c r="A485" s="9"/>
      <c r="B485" s="9"/>
      <c r="C485" s="9"/>
      <c r="D485" s="9"/>
      <c r="E485" s="9"/>
      <c r="F485" s="9"/>
      <c r="G485" s="9"/>
    </row>
    <row r="486" ht="21.0" customHeight="1">
      <c r="A486" s="9"/>
      <c r="B486" s="9"/>
      <c r="C486" s="9"/>
      <c r="D486" s="9"/>
      <c r="E486" s="9"/>
      <c r="F486" s="9"/>
      <c r="G486" s="9"/>
    </row>
    <row r="487" ht="21.0" customHeight="1">
      <c r="A487" s="9"/>
      <c r="B487" s="9"/>
      <c r="C487" s="9"/>
      <c r="D487" s="9"/>
      <c r="E487" s="9"/>
      <c r="F487" s="9"/>
      <c r="G487" s="9"/>
    </row>
    <row r="488" ht="21.0" customHeight="1">
      <c r="A488" s="9"/>
      <c r="B488" s="9"/>
      <c r="C488" s="9"/>
      <c r="D488" s="9"/>
      <c r="E488" s="9"/>
      <c r="F488" s="9"/>
      <c r="G488" s="9"/>
    </row>
    <row r="489" ht="21.0" customHeight="1">
      <c r="A489" s="9"/>
      <c r="B489" s="9"/>
      <c r="C489" s="9"/>
      <c r="D489" s="9"/>
      <c r="E489" s="9"/>
      <c r="F489" s="9"/>
      <c r="G489" s="9"/>
    </row>
    <row r="490" ht="21.0" customHeight="1">
      <c r="A490" s="9"/>
      <c r="B490" s="9"/>
      <c r="C490" s="9"/>
      <c r="D490" s="9"/>
      <c r="E490" s="9"/>
      <c r="F490" s="9"/>
      <c r="G490" s="9"/>
    </row>
    <row r="491" ht="21.0" customHeight="1">
      <c r="A491" s="9"/>
      <c r="B491" s="9"/>
      <c r="C491" s="9"/>
      <c r="D491" s="9"/>
      <c r="E491" s="9"/>
      <c r="F491" s="9"/>
      <c r="G491" s="9"/>
    </row>
    <row r="492" ht="21.0" customHeight="1">
      <c r="A492" s="9"/>
      <c r="B492" s="9"/>
      <c r="C492" s="9"/>
      <c r="D492" s="9"/>
      <c r="E492" s="9"/>
      <c r="F492" s="9"/>
      <c r="G492" s="9"/>
    </row>
    <row r="493" ht="21.0" customHeight="1">
      <c r="A493" s="9"/>
      <c r="B493" s="9"/>
      <c r="C493" s="9"/>
      <c r="D493" s="9"/>
      <c r="E493" s="9"/>
      <c r="F493" s="9"/>
      <c r="G493" s="9"/>
    </row>
    <row r="494" ht="21.0" customHeight="1">
      <c r="A494" s="9"/>
      <c r="B494" s="9"/>
      <c r="C494" s="9"/>
      <c r="D494" s="9"/>
      <c r="E494" s="9"/>
      <c r="F494" s="9"/>
      <c r="G494" s="9"/>
    </row>
    <row r="495" ht="21.0" customHeight="1">
      <c r="A495" s="9"/>
      <c r="B495" s="9"/>
      <c r="C495" s="9"/>
      <c r="D495" s="9"/>
      <c r="E495" s="9"/>
      <c r="F495" s="9"/>
      <c r="G495" s="9"/>
    </row>
    <row r="496" ht="21.0" customHeight="1">
      <c r="A496" s="9"/>
      <c r="B496" s="9"/>
      <c r="C496" s="9"/>
      <c r="D496" s="9"/>
      <c r="E496" s="9"/>
      <c r="F496" s="9"/>
      <c r="G496" s="9"/>
    </row>
    <row r="497" ht="21.0" customHeight="1">
      <c r="A497" s="9"/>
      <c r="B497" s="9"/>
      <c r="C497" s="9"/>
      <c r="D497" s="9"/>
      <c r="E497" s="9"/>
      <c r="F497" s="9"/>
      <c r="G497" s="9"/>
    </row>
    <row r="498" ht="21.0" customHeight="1">
      <c r="A498" s="9"/>
      <c r="B498" s="9"/>
      <c r="C498" s="9"/>
      <c r="D498" s="9"/>
      <c r="E498" s="9"/>
      <c r="F498" s="9"/>
      <c r="G498" s="9"/>
    </row>
    <row r="499" ht="21.0" customHeight="1">
      <c r="A499" s="9"/>
      <c r="B499" s="9"/>
      <c r="C499" s="9"/>
      <c r="D499" s="9"/>
      <c r="E499" s="9"/>
      <c r="F499" s="9"/>
      <c r="G499" s="9"/>
    </row>
    <row r="500" ht="21.0" customHeight="1">
      <c r="A500" s="9"/>
      <c r="B500" s="9"/>
      <c r="C500" s="9"/>
      <c r="D500" s="9"/>
      <c r="E500" s="9"/>
      <c r="F500" s="9"/>
      <c r="G500" s="9"/>
    </row>
    <row r="501" ht="21.0" customHeight="1">
      <c r="A501" s="9"/>
      <c r="B501" s="9"/>
      <c r="C501" s="9"/>
      <c r="D501" s="9"/>
      <c r="E501" s="9"/>
      <c r="F501" s="9"/>
      <c r="G501" s="9"/>
    </row>
    <row r="502" ht="21.0" customHeight="1">
      <c r="A502" s="9"/>
      <c r="B502" s="9"/>
      <c r="C502" s="9"/>
      <c r="D502" s="9"/>
      <c r="E502" s="9"/>
      <c r="F502" s="9"/>
      <c r="G502" s="9"/>
    </row>
    <row r="503" ht="21.0" customHeight="1">
      <c r="A503" s="9"/>
      <c r="B503" s="9"/>
      <c r="C503" s="9"/>
      <c r="D503" s="9"/>
      <c r="E503" s="9"/>
      <c r="F503" s="9"/>
      <c r="G503" s="9"/>
    </row>
    <row r="504" ht="21.0" customHeight="1">
      <c r="A504" s="9"/>
      <c r="B504" s="9"/>
      <c r="C504" s="9"/>
      <c r="D504" s="9"/>
      <c r="E504" s="9"/>
      <c r="F504" s="9"/>
      <c r="G504" s="9"/>
    </row>
    <row r="505" ht="21.0" customHeight="1">
      <c r="A505" s="9"/>
      <c r="B505" s="9"/>
      <c r="C505" s="9"/>
      <c r="D505" s="9"/>
      <c r="E505" s="9"/>
      <c r="F505" s="9"/>
      <c r="G505" s="9"/>
    </row>
    <row r="506" ht="21.0" customHeight="1">
      <c r="A506" s="9"/>
      <c r="B506" s="9"/>
      <c r="C506" s="9"/>
      <c r="D506" s="9"/>
      <c r="E506" s="9"/>
      <c r="F506" s="9"/>
      <c r="G506" s="9"/>
    </row>
    <row r="507" ht="21.0" customHeight="1">
      <c r="A507" s="9"/>
      <c r="B507" s="9"/>
      <c r="C507" s="9"/>
      <c r="D507" s="9"/>
      <c r="E507" s="9"/>
      <c r="F507" s="9"/>
      <c r="G507" s="9"/>
    </row>
    <row r="508" ht="21.0" customHeight="1">
      <c r="A508" s="9"/>
      <c r="B508" s="9"/>
      <c r="C508" s="9"/>
      <c r="D508" s="9"/>
      <c r="E508" s="9"/>
      <c r="F508" s="9"/>
      <c r="G508" s="9"/>
    </row>
    <row r="509" ht="21.0" customHeight="1">
      <c r="A509" s="9"/>
      <c r="B509" s="9"/>
      <c r="C509" s="9"/>
      <c r="D509" s="9"/>
      <c r="E509" s="9"/>
      <c r="F509" s="9"/>
      <c r="G509" s="9"/>
    </row>
    <row r="510" ht="21.0" customHeight="1">
      <c r="A510" s="9"/>
      <c r="B510" s="9"/>
      <c r="C510" s="9"/>
      <c r="D510" s="9"/>
      <c r="E510" s="9"/>
      <c r="F510" s="9"/>
      <c r="G510" s="9"/>
    </row>
    <row r="511" ht="21.0" customHeight="1">
      <c r="A511" s="9"/>
      <c r="B511" s="9"/>
      <c r="C511" s="9"/>
      <c r="D511" s="9"/>
      <c r="E511" s="9"/>
      <c r="F511" s="9"/>
      <c r="G511" s="9"/>
    </row>
    <row r="512" ht="21.0" customHeight="1">
      <c r="A512" s="9"/>
      <c r="B512" s="9"/>
      <c r="C512" s="9"/>
      <c r="D512" s="9"/>
      <c r="E512" s="9"/>
      <c r="F512" s="9"/>
      <c r="G512" s="9"/>
    </row>
    <row r="513" ht="21.0" customHeight="1">
      <c r="A513" s="9"/>
      <c r="B513" s="9"/>
      <c r="C513" s="9"/>
      <c r="D513" s="9"/>
      <c r="E513" s="9"/>
      <c r="F513" s="9"/>
      <c r="G513" s="9"/>
    </row>
    <row r="514" ht="21.0" customHeight="1">
      <c r="A514" s="9"/>
      <c r="B514" s="9"/>
      <c r="C514" s="9"/>
      <c r="D514" s="9"/>
      <c r="E514" s="9"/>
      <c r="F514" s="9"/>
      <c r="G514" s="9"/>
    </row>
    <row r="515" ht="21.0" customHeight="1">
      <c r="A515" s="9"/>
      <c r="B515" s="9"/>
      <c r="C515" s="9"/>
      <c r="D515" s="9"/>
      <c r="E515" s="9"/>
      <c r="F515" s="9"/>
      <c r="G515" s="9"/>
    </row>
    <row r="516" ht="21.0" customHeight="1">
      <c r="A516" s="9"/>
      <c r="B516" s="9"/>
      <c r="C516" s="9"/>
      <c r="D516" s="9"/>
      <c r="E516" s="9"/>
      <c r="F516" s="9"/>
      <c r="G516" s="9"/>
    </row>
    <row r="517" ht="21.0" customHeight="1">
      <c r="A517" s="9"/>
      <c r="B517" s="9"/>
      <c r="C517" s="9"/>
      <c r="D517" s="9"/>
      <c r="E517" s="9"/>
      <c r="F517" s="9"/>
      <c r="G517" s="9"/>
    </row>
    <row r="518" ht="21.0" customHeight="1">
      <c r="A518" s="9"/>
      <c r="B518" s="9"/>
      <c r="C518" s="9"/>
      <c r="D518" s="9"/>
      <c r="E518" s="9"/>
      <c r="F518" s="9"/>
      <c r="G518" s="9"/>
    </row>
    <row r="519" ht="21.0" customHeight="1">
      <c r="A519" s="9"/>
      <c r="B519" s="9"/>
      <c r="C519" s="9"/>
      <c r="D519" s="9"/>
      <c r="E519" s="9"/>
      <c r="F519" s="9"/>
      <c r="G519" s="9"/>
    </row>
    <row r="520" ht="21.0" customHeight="1">
      <c r="A520" s="9"/>
      <c r="B520" s="9"/>
      <c r="C520" s="9"/>
      <c r="D520" s="9"/>
      <c r="E520" s="9"/>
      <c r="F520" s="9"/>
      <c r="G520" s="9"/>
    </row>
    <row r="521" ht="21.0" customHeight="1">
      <c r="A521" s="9"/>
      <c r="B521" s="9"/>
      <c r="C521" s="9"/>
      <c r="D521" s="9"/>
      <c r="E521" s="9"/>
      <c r="F521" s="9"/>
      <c r="G521" s="9"/>
    </row>
    <row r="522" ht="21.0" customHeight="1">
      <c r="A522" s="9"/>
      <c r="B522" s="9"/>
      <c r="C522" s="9"/>
      <c r="D522" s="9"/>
      <c r="E522" s="9"/>
      <c r="F522" s="9"/>
      <c r="G522" s="9"/>
    </row>
    <row r="523" ht="21.0" customHeight="1">
      <c r="A523" s="9"/>
      <c r="B523" s="9"/>
      <c r="C523" s="9"/>
      <c r="D523" s="9"/>
      <c r="E523" s="9"/>
      <c r="F523" s="9"/>
      <c r="G523" s="9"/>
    </row>
    <row r="524" ht="21.0" customHeight="1">
      <c r="A524" s="9"/>
      <c r="B524" s="9"/>
      <c r="C524" s="9"/>
      <c r="D524" s="9"/>
      <c r="E524" s="9"/>
      <c r="F524" s="9"/>
      <c r="G524" s="9"/>
    </row>
    <row r="525" ht="21.0" customHeight="1">
      <c r="A525" s="9"/>
      <c r="B525" s="9"/>
      <c r="C525" s="9"/>
      <c r="D525" s="9"/>
      <c r="E525" s="9"/>
      <c r="F525" s="9"/>
      <c r="G525" s="9"/>
    </row>
    <row r="526" ht="21.0" customHeight="1">
      <c r="A526" s="9"/>
      <c r="B526" s="9"/>
      <c r="C526" s="9"/>
      <c r="D526" s="9"/>
      <c r="E526" s="9"/>
      <c r="F526" s="9"/>
      <c r="G526" s="9"/>
    </row>
    <row r="527" ht="21.0" customHeight="1">
      <c r="A527" s="9"/>
      <c r="B527" s="9"/>
      <c r="C527" s="9"/>
      <c r="D527" s="9"/>
      <c r="E527" s="9"/>
      <c r="F527" s="9"/>
      <c r="G527" s="9"/>
    </row>
    <row r="528" ht="21.0" customHeight="1">
      <c r="A528" s="9"/>
      <c r="B528" s="9"/>
      <c r="C528" s="9"/>
      <c r="D528" s="9"/>
      <c r="E528" s="9"/>
      <c r="F528" s="9"/>
      <c r="G528" s="9"/>
    </row>
    <row r="529" ht="21.0" customHeight="1">
      <c r="A529" s="9"/>
      <c r="B529" s="9"/>
      <c r="C529" s="9"/>
      <c r="D529" s="9"/>
      <c r="E529" s="9"/>
      <c r="F529" s="9"/>
      <c r="G529" s="9"/>
    </row>
    <row r="530" ht="21.0" customHeight="1">
      <c r="A530" s="9"/>
      <c r="B530" s="9"/>
      <c r="C530" s="9"/>
      <c r="D530" s="9"/>
      <c r="E530" s="9"/>
      <c r="F530" s="9"/>
      <c r="G530" s="9"/>
    </row>
    <row r="531" ht="21.0" customHeight="1">
      <c r="A531" s="9"/>
      <c r="B531" s="9"/>
      <c r="C531" s="9"/>
      <c r="D531" s="9"/>
      <c r="E531" s="9"/>
      <c r="F531" s="9"/>
      <c r="G531" s="9"/>
    </row>
    <row r="532" ht="21.0" customHeight="1">
      <c r="A532" s="9"/>
      <c r="B532" s="9"/>
      <c r="C532" s="9"/>
      <c r="D532" s="9"/>
      <c r="E532" s="9"/>
      <c r="F532" s="9"/>
      <c r="G532" s="9"/>
    </row>
    <row r="533" ht="21.0" customHeight="1">
      <c r="A533" s="9"/>
      <c r="B533" s="9"/>
      <c r="C533" s="9"/>
      <c r="D533" s="9"/>
      <c r="E533" s="9"/>
      <c r="F533" s="9"/>
      <c r="G533" s="9"/>
    </row>
    <row r="534" ht="21.0" customHeight="1">
      <c r="A534" s="9"/>
      <c r="B534" s="9"/>
      <c r="C534" s="9"/>
      <c r="D534" s="9"/>
      <c r="E534" s="9"/>
      <c r="F534" s="9"/>
      <c r="G534" s="9"/>
    </row>
    <row r="535" ht="21.0" customHeight="1">
      <c r="A535" s="9"/>
      <c r="B535" s="9"/>
      <c r="C535" s="9"/>
      <c r="D535" s="9"/>
      <c r="E535" s="9"/>
      <c r="F535" s="9"/>
      <c r="G535" s="9"/>
    </row>
    <row r="536" ht="21.0" customHeight="1">
      <c r="A536" s="9"/>
      <c r="B536" s="9"/>
      <c r="C536" s="9"/>
      <c r="D536" s="9"/>
      <c r="E536" s="9"/>
      <c r="F536" s="9"/>
      <c r="G536" s="9"/>
    </row>
    <row r="537" ht="21.0" customHeight="1">
      <c r="A537" s="9"/>
      <c r="B537" s="9"/>
      <c r="C537" s="9"/>
      <c r="D537" s="9"/>
      <c r="E537" s="9"/>
      <c r="F537" s="9"/>
      <c r="G537" s="9"/>
    </row>
    <row r="538" ht="21.0" customHeight="1">
      <c r="A538" s="9"/>
      <c r="B538" s="9"/>
      <c r="C538" s="9"/>
      <c r="D538" s="9"/>
      <c r="E538" s="9"/>
      <c r="F538" s="9"/>
      <c r="G538" s="9"/>
    </row>
    <row r="539" ht="21.0" customHeight="1">
      <c r="A539" s="9"/>
      <c r="B539" s="9"/>
      <c r="C539" s="9"/>
      <c r="D539" s="9"/>
      <c r="E539" s="9"/>
      <c r="F539" s="9"/>
      <c r="G539" s="9"/>
    </row>
    <row r="540" ht="21.0" customHeight="1">
      <c r="A540" s="9"/>
      <c r="B540" s="9"/>
      <c r="C540" s="9"/>
      <c r="D540" s="9"/>
      <c r="E540" s="9"/>
      <c r="F540" s="9"/>
      <c r="G540" s="9"/>
    </row>
    <row r="541" ht="21.0" customHeight="1">
      <c r="A541" s="9"/>
      <c r="B541" s="9"/>
      <c r="C541" s="9"/>
      <c r="D541" s="9"/>
      <c r="E541" s="9"/>
      <c r="F541" s="9"/>
      <c r="G541" s="9"/>
    </row>
    <row r="542" ht="21.0" customHeight="1">
      <c r="A542" s="9"/>
      <c r="B542" s="9"/>
      <c r="C542" s="9"/>
      <c r="D542" s="9"/>
      <c r="E542" s="9"/>
      <c r="F542" s="9"/>
      <c r="G542" s="9"/>
    </row>
    <row r="543" ht="21.0" customHeight="1">
      <c r="A543" s="9"/>
      <c r="B543" s="9"/>
      <c r="C543" s="9"/>
      <c r="D543" s="9"/>
      <c r="E543" s="9"/>
      <c r="F543" s="9"/>
      <c r="G543" s="9"/>
    </row>
    <row r="544" ht="21.0" customHeight="1">
      <c r="A544" s="9"/>
      <c r="B544" s="9"/>
      <c r="C544" s="9"/>
      <c r="D544" s="9"/>
      <c r="E544" s="9"/>
      <c r="F544" s="9"/>
      <c r="G544" s="9"/>
    </row>
    <row r="545" ht="21.0" customHeight="1">
      <c r="A545" s="9"/>
      <c r="B545" s="9"/>
      <c r="C545" s="9"/>
      <c r="D545" s="9"/>
      <c r="E545" s="9"/>
      <c r="F545" s="9"/>
      <c r="G545" s="9"/>
    </row>
    <row r="546" ht="21.0" customHeight="1">
      <c r="A546" s="9"/>
      <c r="B546" s="9"/>
      <c r="C546" s="9"/>
      <c r="D546" s="9"/>
      <c r="E546" s="9"/>
      <c r="F546" s="9"/>
      <c r="G546" s="9"/>
    </row>
    <row r="547" ht="21.0" customHeight="1">
      <c r="A547" s="9"/>
      <c r="B547" s="9"/>
      <c r="C547" s="9"/>
      <c r="D547" s="9"/>
      <c r="E547" s="9"/>
      <c r="F547" s="9"/>
      <c r="G547" s="9"/>
    </row>
    <row r="548" ht="21.0" customHeight="1">
      <c r="A548" s="9"/>
      <c r="B548" s="9"/>
      <c r="C548" s="9"/>
      <c r="D548" s="9"/>
      <c r="E548" s="9"/>
      <c r="F548" s="9"/>
      <c r="G548" s="9"/>
    </row>
    <row r="549" ht="21.0" customHeight="1">
      <c r="A549" s="9"/>
      <c r="B549" s="9"/>
      <c r="C549" s="9"/>
      <c r="D549" s="9"/>
      <c r="E549" s="9"/>
      <c r="F549" s="9"/>
      <c r="G549" s="9"/>
    </row>
    <row r="550" ht="21.0" customHeight="1">
      <c r="A550" s="9"/>
      <c r="B550" s="9"/>
      <c r="C550" s="9"/>
      <c r="D550" s="9"/>
      <c r="E550" s="9"/>
      <c r="F550" s="9"/>
      <c r="G550" s="9"/>
    </row>
    <row r="551" ht="21.0" customHeight="1">
      <c r="A551" s="9"/>
      <c r="B551" s="9"/>
      <c r="C551" s="9"/>
      <c r="D551" s="9"/>
      <c r="E551" s="9"/>
      <c r="F551" s="9"/>
      <c r="G551" s="9"/>
    </row>
    <row r="552" ht="21.0" customHeight="1">
      <c r="A552" s="9"/>
      <c r="B552" s="9"/>
      <c r="C552" s="9"/>
      <c r="D552" s="9"/>
      <c r="E552" s="9"/>
      <c r="F552" s="9"/>
      <c r="G552" s="9"/>
    </row>
    <row r="553" ht="21.0" customHeight="1">
      <c r="A553" s="9"/>
      <c r="B553" s="9"/>
      <c r="C553" s="9"/>
      <c r="D553" s="9"/>
      <c r="E553" s="9"/>
      <c r="F553" s="9"/>
      <c r="G553" s="9"/>
    </row>
    <row r="554" ht="21.0" customHeight="1">
      <c r="A554" s="9"/>
      <c r="B554" s="9"/>
      <c r="C554" s="9"/>
      <c r="D554" s="9"/>
      <c r="E554" s="9"/>
      <c r="F554" s="9"/>
      <c r="G554" s="9"/>
    </row>
    <row r="555" ht="21.0" customHeight="1">
      <c r="A555" s="9"/>
      <c r="B555" s="9"/>
      <c r="C555" s="9"/>
      <c r="D555" s="9"/>
      <c r="E555" s="9"/>
      <c r="F555" s="9"/>
      <c r="G555" s="9"/>
    </row>
    <row r="556" ht="21.0" customHeight="1">
      <c r="A556" s="9"/>
      <c r="B556" s="9"/>
      <c r="C556" s="9"/>
      <c r="D556" s="9"/>
      <c r="E556" s="9"/>
      <c r="F556" s="9"/>
      <c r="G556" s="9"/>
    </row>
    <row r="557" ht="21.0" customHeight="1">
      <c r="A557" s="9"/>
      <c r="B557" s="9"/>
      <c r="C557" s="9"/>
      <c r="D557" s="9"/>
      <c r="E557" s="9"/>
      <c r="F557" s="9"/>
      <c r="G557" s="9"/>
    </row>
    <row r="558" ht="21.0" customHeight="1">
      <c r="A558" s="9"/>
      <c r="B558" s="9"/>
      <c r="C558" s="9"/>
      <c r="D558" s="9"/>
      <c r="E558" s="9"/>
      <c r="F558" s="9"/>
      <c r="G558" s="9"/>
    </row>
    <row r="559" ht="21.0" customHeight="1">
      <c r="A559" s="9"/>
      <c r="B559" s="9"/>
      <c r="C559" s="9"/>
      <c r="D559" s="9"/>
      <c r="E559" s="9"/>
      <c r="F559" s="9"/>
      <c r="G559" s="9"/>
    </row>
    <row r="560" ht="21.0" customHeight="1">
      <c r="A560" s="9"/>
      <c r="B560" s="9"/>
      <c r="C560" s="9"/>
      <c r="D560" s="9"/>
      <c r="E560" s="9"/>
      <c r="F560" s="9"/>
      <c r="G560" s="9"/>
    </row>
    <row r="561" ht="21.0" customHeight="1">
      <c r="A561" s="9"/>
      <c r="B561" s="9"/>
      <c r="C561" s="9"/>
      <c r="D561" s="9"/>
      <c r="E561" s="9"/>
      <c r="F561" s="9"/>
      <c r="G561" s="9"/>
    </row>
    <row r="562" ht="21.0" customHeight="1">
      <c r="A562" s="9"/>
      <c r="B562" s="9"/>
      <c r="C562" s="9"/>
      <c r="D562" s="9"/>
      <c r="E562" s="9"/>
      <c r="F562" s="9"/>
      <c r="G562" s="9"/>
    </row>
    <row r="563" ht="21.0" customHeight="1">
      <c r="A563" s="9"/>
      <c r="B563" s="9"/>
      <c r="C563" s="9"/>
      <c r="D563" s="9"/>
      <c r="E563" s="9"/>
      <c r="F563" s="9"/>
      <c r="G563" s="9"/>
    </row>
    <row r="564" ht="21.0" customHeight="1">
      <c r="A564" s="9"/>
      <c r="B564" s="9"/>
      <c r="C564" s="9"/>
      <c r="D564" s="9"/>
      <c r="E564" s="9"/>
      <c r="F564" s="9"/>
      <c r="G564" s="9"/>
    </row>
    <row r="565" ht="21.0" customHeight="1">
      <c r="A565" s="9"/>
      <c r="B565" s="9"/>
      <c r="C565" s="9"/>
      <c r="D565" s="9"/>
      <c r="E565" s="9"/>
      <c r="F565" s="9"/>
      <c r="G565" s="9"/>
    </row>
    <row r="566" ht="21.0" customHeight="1">
      <c r="A566" s="9"/>
      <c r="B566" s="9"/>
      <c r="C566" s="9"/>
      <c r="D566" s="9"/>
      <c r="E566" s="9"/>
      <c r="F566" s="9"/>
      <c r="G566" s="9"/>
    </row>
    <row r="567" ht="21.0" customHeight="1">
      <c r="A567" s="9"/>
      <c r="B567" s="9"/>
      <c r="C567" s="9"/>
      <c r="D567" s="9"/>
      <c r="E567" s="9"/>
      <c r="F567" s="9"/>
      <c r="G567" s="9"/>
    </row>
    <row r="568" ht="21.0" customHeight="1">
      <c r="A568" s="9"/>
      <c r="B568" s="9"/>
      <c r="C568" s="9"/>
      <c r="D568" s="9"/>
      <c r="E568" s="9"/>
      <c r="F568" s="9"/>
      <c r="G568" s="9"/>
    </row>
    <row r="569" ht="21.0" customHeight="1">
      <c r="A569" s="9"/>
      <c r="B569" s="9"/>
      <c r="C569" s="9"/>
      <c r="D569" s="9"/>
      <c r="E569" s="9"/>
      <c r="F569" s="9"/>
      <c r="G569" s="9"/>
    </row>
    <row r="570" ht="21.0" customHeight="1">
      <c r="A570" s="9"/>
      <c r="B570" s="9"/>
      <c r="C570" s="9"/>
      <c r="D570" s="9"/>
      <c r="E570" s="9"/>
      <c r="F570" s="9"/>
      <c r="G570" s="9"/>
    </row>
    <row r="571" ht="21.0" customHeight="1">
      <c r="A571" s="9"/>
      <c r="B571" s="9"/>
      <c r="C571" s="9"/>
      <c r="D571" s="9"/>
      <c r="E571" s="9"/>
      <c r="F571" s="9"/>
      <c r="G571" s="9"/>
    </row>
    <row r="572" ht="21.0" customHeight="1">
      <c r="A572" s="9"/>
      <c r="B572" s="9"/>
      <c r="C572" s="9"/>
      <c r="D572" s="9"/>
      <c r="E572" s="9"/>
      <c r="F572" s="9"/>
      <c r="G572" s="9"/>
    </row>
    <row r="573" ht="21.0" customHeight="1">
      <c r="A573" s="9"/>
      <c r="B573" s="9"/>
      <c r="C573" s="9"/>
      <c r="D573" s="9"/>
      <c r="E573" s="9"/>
      <c r="F573" s="9"/>
      <c r="G573" s="9"/>
    </row>
    <row r="574" ht="21.0" customHeight="1">
      <c r="A574" s="9"/>
      <c r="B574" s="9"/>
      <c r="C574" s="9"/>
      <c r="D574" s="9"/>
      <c r="E574" s="9"/>
      <c r="F574" s="9"/>
      <c r="G574" s="9"/>
    </row>
    <row r="575" ht="21.0" customHeight="1">
      <c r="A575" s="9"/>
      <c r="B575" s="9"/>
      <c r="C575" s="9"/>
      <c r="D575" s="9"/>
      <c r="E575" s="9"/>
      <c r="F575" s="9"/>
      <c r="G575" s="9"/>
    </row>
    <row r="576" ht="21.0" customHeight="1">
      <c r="A576" s="9"/>
      <c r="B576" s="9"/>
      <c r="C576" s="9"/>
      <c r="D576" s="9"/>
      <c r="E576" s="9"/>
      <c r="F576" s="9"/>
      <c r="G576" s="9"/>
    </row>
    <row r="577" ht="21.0" customHeight="1">
      <c r="A577" s="9"/>
      <c r="B577" s="9"/>
      <c r="C577" s="9"/>
      <c r="D577" s="9"/>
      <c r="E577" s="9"/>
      <c r="F577" s="9"/>
      <c r="G577" s="9"/>
    </row>
    <row r="578" ht="21.0" customHeight="1">
      <c r="A578" s="9"/>
      <c r="B578" s="9"/>
      <c r="C578" s="9"/>
      <c r="D578" s="9"/>
      <c r="E578" s="9"/>
      <c r="F578" s="9"/>
      <c r="G578" s="9"/>
    </row>
    <row r="579" ht="21.0" customHeight="1">
      <c r="A579" s="9"/>
      <c r="B579" s="9"/>
      <c r="C579" s="9"/>
      <c r="D579" s="9"/>
      <c r="E579" s="9"/>
      <c r="F579" s="9"/>
      <c r="G579" s="9"/>
    </row>
    <row r="580" ht="21.0" customHeight="1">
      <c r="A580" s="9"/>
      <c r="B580" s="9"/>
      <c r="C580" s="9"/>
      <c r="D580" s="9"/>
      <c r="E580" s="9"/>
      <c r="F580" s="9"/>
      <c r="G580" s="9"/>
    </row>
    <row r="581" ht="21.0" customHeight="1">
      <c r="A581" s="9"/>
      <c r="B581" s="9"/>
      <c r="C581" s="9"/>
      <c r="D581" s="9"/>
      <c r="E581" s="9"/>
      <c r="F581" s="9"/>
      <c r="G581" s="9"/>
    </row>
    <row r="582" ht="21.0" customHeight="1">
      <c r="A582" s="9"/>
      <c r="B582" s="9"/>
      <c r="C582" s="9"/>
      <c r="D582" s="9"/>
      <c r="E582" s="9"/>
      <c r="F582" s="9"/>
      <c r="G582" s="9"/>
    </row>
    <row r="583" ht="21.0" customHeight="1">
      <c r="A583" s="9"/>
      <c r="B583" s="9"/>
      <c r="C583" s="9"/>
      <c r="D583" s="9"/>
      <c r="E583" s="9"/>
      <c r="F583" s="9"/>
      <c r="G583" s="9"/>
    </row>
    <row r="584" ht="21.0" customHeight="1">
      <c r="A584" s="9"/>
      <c r="B584" s="9"/>
      <c r="C584" s="9"/>
      <c r="D584" s="9"/>
      <c r="E584" s="9"/>
      <c r="F584" s="9"/>
      <c r="G584" s="9"/>
    </row>
    <row r="585" ht="21.0" customHeight="1">
      <c r="A585" s="9"/>
      <c r="B585" s="9"/>
      <c r="C585" s="9"/>
      <c r="D585" s="9"/>
      <c r="E585" s="9"/>
      <c r="F585" s="9"/>
      <c r="G585" s="9"/>
    </row>
    <row r="586" ht="21.0" customHeight="1">
      <c r="A586" s="9"/>
      <c r="B586" s="9"/>
      <c r="C586" s="9"/>
      <c r="D586" s="9"/>
      <c r="E586" s="9"/>
      <c r="F586" s="9"/>
      <c r="G586" s="9"/>
    </row>
    <row r="587" ht="21.0" customHeight="1">
      <c r="A587" s="9"/>
      <c r="B587" s="9"/>
      <c r="C587" s="9"/>
      <c r="D587" s="9"/>
      <c r="E587" s="9"/>
      <c r="F587" s="9"/>
      <c r="G587" s="9"/>
    </row>
    <row r="588" ht="21.0" customHeight="1">
      <c r="A588" s="9"/>
      <c r="B588" s="9"/>
      <c r="C588" s="9"/>
      <c r="D588" s="9"/>
      <c r="E588" s="9"/>
      <c r="F588" s="9"/>
      <c r="G588" s="9"/>
    </row>
    <row r="589" ht="21.0" customHeight="1">
      <c r="A589" s="9"/>
      <c r="B589" s="9"/>
      <c r="C589" s="9"/>
      <c r="D589" s="9"/>
      <c r="E589" s="9"/>
      <c r="F589" s="9"/>
      <c r="G589" s="9"/>
    </row>
    <row r="590" ht="21.0" customHeight="1">
      <c r="A590" s="9"/>
      <c r="B590" s="9"/>
      <c r="C590" s="9"/>
      <c r="D590" s="9"/>
      <c r="E590" s="9"/>
      <c r="F590" s="9"/>
      <c r="G590" s="9"/>
    </row>
    <row r="591" ht="21.0" customHeight="1">
      <c r="A591" s="9"/>
      <c r="B591" s="9"/>
      <c r="C591" s="9"/>
      <c r="D591" s="9"/>
      <c r="E591" s="9"/>
      <c r="F591" s="9"/>
      <c r="G591" s="9"/>
    </row>
    <row r="592" ht="21.0" customHeight="1">
      <c r="A592" s="9"/>
      <c r="B592" s="9"/>
      <c r="C592" s="9"/>
      <c r="D592" s="9"/>
      <c r="E592" s="9"/>
      <c r="F592" s="9"/>
      <c r="G592" s="9"/>
    </row>
    <row r="593" ht="21.0" customHeight="1">
      <c r="A593" s="9"/>
      <c r="B593" s="9"/>
      <c r="C593" s="9"/>
      <c r="D593" s="9"/>
      <c r="E593" s="9"/>
      <c r="F593" s="9"/>
      <c r="G593" s="9"/>
    </row>
    <row r="594" ht="21.0" customHeight="1">
      <c r="A594" s="9"/>
      <c r="B594" s="9"/>
      <c r="C594" s="9"/>
      <c r="D594" s="9"/>
      <c r="E594" s="9"/>
      <c r="F594" s="9"/>
      <c r="G594" s="9"/>
    </row>
    <row r="595" ht="21.0" customHeight="1">
      <c r="A595" s="9"/>
      <c r="B595" s="9"/>
      <c r="C595" s="9"/>
      <c r="D595" s="9"/>
      <c r="E595" s="9"/>
      <c r="F595" s="9"/>
      <c r="G595" s="9"/>
    </row>
    <row r="596" ht="21.0" customHeight="1">
      <c r="A596" s="9"/>
      <c r="B596" s="9"/>
      <c r="C596" s="9"/>
      <c r="D596" s="9"/>
      <c r="E596" s="9"/>
      <c r="F596" s="9"/>
      <c r="G596" s="9"/>
    </row>
    <row r="597" ht="21.0" customHeight="1">
      <c r="A597" s="9"/>
      <c r="B597" s="9"/>
      <c r="C597" s="9"/>
      <c r="D597" s="9"/>
      <c r="E597" s="9"/>
      <c r="F597" s="9"/>
      <c r="G597" s="9"/>
    </row>
    <row r="598" ht="21.0" customHeight="1">
      <c r="A598" s="9"/>
      <c r="B598" s="9"/>
      <c r="C598" s="9"/>
      <c r="D598" s="9"/>
      <c r="E598" s="9"/>
      <c r="F598" s="9"/>
      <c r="G598" s="9"/>
    </row>
    <row r="599" ht="21.0" customHeight="1">
      <c r="A599" s="9"/>
      <c r="B599" s="9"/>
      <c r="C599" s="9"/>
      <c r="D599" s="9"/>
      <c r="E599" s="9"/>
      <c r="F599" s="9"/>
      <c r="G599" s="9"/>
    </row>
    <row r="600" ht="21.0" customHeight="1">
      <c r="A600" s="9"/>
      <c r="B600" s="9"/>
      <c r="C600" s="9"/>
      <c r="D600" s="9"/>
      <c r="E600" s="9"/>
      <c r="F600" s="9"/>
      <c r="G600" s="9"/>
    </row>
    <row r="601" ht="21.0" customHeight="1">
      <c r="A601" s="9"/>
      <c r="B601" s="9"/>
      <c r="C601" s="9"/>
      <c r="D601" s="9"/>
      <c r="E601" s="9"/>
      <c r="F601" s="9"/>
      <c r="G601" s="9"/>
    </row>
    <row r="602" ht="21.0" customHeight="1">
      <c r="A602" s="9"/>
      <c r="B602" s="9"/>
      <c r="C602" s="9"/>
      <c r="D602" s="9"/>
      <c r="E602" s="9"/>
      <c r="F602" s="9"/>
      <c r="G602" s="9"/>
    </row>
    <row r="603" ht="21.0" customHeight="1">
      <c r="A603" s="9"/>
      <c r="B603" s="9"/>
      <c r="C603" s="9"/>
      <c r="D603" s="9"/>
      <c r="E603" s="9"/>
      <c r="F603" s="9"/>
      <c r="G603" s="9"/>
    </row>
    <row r="604" ht="21.0" customHeight="1">
      <c r="A604" s="9"/>
      <c r="B604" s="9"/>
      <c r="C604" s="9"/>
      <c r="D604" s="9"/>
      <c r="E604" s="9"/>
      <c r="F604" s="9"/>
      <c r="G604" s="9"/>
    </row>
    <row r="605" ht="21.0" customHeight="1">
      <c r="A605" s="9"/>
      <c r="B605" s="9"/>
      <c r="C605" s="9"/>
      <c r="D605" s="9"/>
      <c r="E605" s="9"/>
      <c r="F605" s="9"/>
      <c r="G605" s="9"/>
    </row>
    <row r="606" ht="21.0" customHeight="1">
      <c r="A606" s="9"/>
      <c r="B606" s="9"/>
      <c r="C606" s="9"/>
      <c r="D606" s="9"/>
      <c r="E606" s="9"/>
      <c r="F606" s="9"/>
      <c r="G606" s="9"/>
    </row>
    <row r="607" ht="21.0" customHeight="1">
      <c r="A607" s="9"/>
      <c r="B607" s="9"/>
      <c r="C607" s="9"/>
      <c r="D607" s="9"/>
      <c r="E607" s="9"/>
      <c r="F607" s="9"/>
      <c r="G607" s="9"/>
    </row>
    <row r="608" ht="21.0" customHeight="1">
      <c r="A608" s="9"/>
      <c r="B608" s="9"/>
      <c r="C608" s="9"/>
      <c r="D608" s="9"/>
      <c r="E608" s="9"/>
      <c r="F608" s="9"/>
      <c r="G608" s="9"/>
    </row>
    <row r="609" ht="21.0" customHeight="1">
      <c r="A609" s="9"/>
      <c r="B609" s="9"/>
      <c r="C609" s="9"/>
      <c r="D609" s="9"/>
      <c r="E609" s="9"/>
      <c r="F609" s="9"/>
      <c r="G609" s="9"/>
    </row>
    <row r="610" ht="21.0" customHeight="1">
      <c r="A610" s="9"/>
      <c r="B610" s="9"/>
      <c r="C610" s="9"/>
      <c r="D610" s="9"/>
      <c r="E610" s="9"/>
      <c r="F610" s="9"/>
      <c r="G610" s="9"/>
    </row>
    <row r="611" ht="21.0" customHeight="1">
      <c r="A611" s="9"/>
      <c r="B611" s="9"/>
      <c r="C611" s="9"/>
      <c r="D611" s="9"/>
      <c r="E611" s="9"/>
      <c r="F611" s="9"/>
      <c r="G611" s="9"/>
    </row>
    <row r="612" ht="21.0" customHeight="1">
      <c r="A612" s="9"/>
      <c r="B612" s="9"/>
      <c r="C612" s="9"/>
      <c r="D612" s="9"/>
      <c r="E612" s="9"/>
      <c r="F612" s="9"/>
      <c r="G612" s="9"/>
    </row>
    <row r="613" ht="21.0" customHeight="1">
      <c r="A613" s="9"/>
      <c r="B613" s="9"/>
      <c r="C613" s="9"/>
      <c r="D613" s="9"/>
      <c r="E613" s="9"/>
      <c r="F613" s="9"/>
      <c r="G613" s="9"/>
    </row>
    <row r="614" ht="21.0" customHeight="1">
      <c r="A614" s="9"/>
      <c r="B614" s="9"/>
      <c r="C614" s="9"/>
      <c r="D614" s="9"/>
      <c r="E614" s="9"/>
      <c r="F614" s="9"/>
      <c r="G614" s="9"/>
    </row>
    <row r="615" ht="21.0" customHeight="1">
      <c r="A615" s="9"/>
      <c r="B615" s="9"/>
      <c r="C615" s="9"/>
      <c r="D615" s="9"/>
      <c r="E615" s="9"/>
      <c r="F615" s="9"/>
      <c r="G615" s="9"/>
    </row>
    <row r="616" ht="21.0" customHeight="1">
      <c r="A616" s="9"/>
      <c r="B616" s="9"/>
      <c r="C616" s="9"/>
      <c r="D616" s="9"/>
      <c r="E616" s="9"/>
      <c r="F616" s="9"/>
      <c r="G616" s="9"/>
    </row>
    <row r="617" ht="21.0" customHeight="1">
      <c r="A617" s="9"/>
      <c r="B617" s="9"/>
      <c r="C617" s="9"/>
      <c r="D617" s="9"/>
      <c r="E617" s="9"/>
      <c r="F617" s="9"/>
      <c r="G617" s="9"/>
    </row>
    <row r="618" ht="21.0" customHeight="1">
      <c r="A618" s="9"/>
      <c r="B618" s="9"/>
      <c r="C618" s="9"/>
      <c r="D618" s="9"/>
      <c r="E618" s="9"/>
      <c r="F618" s="9"/>
      <c r="G618" s="9"/>
    </row>
    <row r="619" ht="21.0" customHeight="1">
      <c r="A619" s="9"/>
      <c r="B619" s="9"/>
      <c r="C619" s="9"/>
      <c r="D619" s="9"/>
      <c r="E619" s="9"/>
      <c r="F619" s="9"/>
      <c r="G619" s="9"/>
    </row>
    <row r="620" ht="21.0" customHeight="1">
      <c r="A620" s="9"/>
      <c r="B620" s="9"/>
      <c r="C620" s="9"/>
      <c r="D620" s="9"/>
      <c r="E620" s="9"/>
      <c r="F620" s="9"/>
      <c r="G620" s="9"/>
    </row>
    <row r="621" ht="21.0" customHeight="1">
      <c r="A621" s="9"/>
      <c r="B621" s="9"/>
      <c r="C621" s="9"/>
      <c r="D621" s="9"/>
      <c r="E621" s="9"/>
      <c r="F621" s="9"/>
      <c r="G621" s="9"/>
    </row>
    <row r="622" ht="21.0" customHeight="1">
      <c r="A622" s="9"/>
      <c r="B622" s="9"/>
      <c r="C622" s="9"/>
      <c r="D622" s="9"/>
      <c r="E622" s="9"/>
      <c r="F622" s="9"/>
      <c r="G622" s="9"/>
    </row>
    <row r="623" ht="21.0" customHeight="1">
      <c r="A623" s="9"/>
      <c r="B623" s="9"/>
      <c r="C623" s="9"/>
      <c r="D623" s="9"/>
      <c r="E623" s="9"/>
      <c r="F623" s="9"/>
      <c r="G623" s="9"/>
    </row>
    <row r="624" ht="21.0" customHeight="1">
      <c r="A624" s="9"/>
      <c r="B624" s="9"/>
      <c r="C624" s="9"/>
      <c r="D624" s="9"/>
      <c r="E624" s="9"/>
      <c r="F624" s="9"/>
      <c r="G624" s="9"/>
    </row>
    <row r="625" ht="21.0" customHeight="1">
      <c r="A625" s="9"/>
      <c r="B625" s="9"/>
      <c r="C625" s="9"/>
      <c r="D625" s="9"/>
      <c r="E625" s="9"/>
      <c r="F625" s="9"/>
      <c r="G625" s="9"/>
    </row>
    <row r="626" ht="21.0" customHeight="1">
      <c r="A626" s="9"/>
      <c r="B626" s="9"/>
      <c r="C626" s="9"/>
      <c r="D626" s="9"/>
      <c r="E626" s="9"/>
      <c r="F626" s="9"/>
      <c r="G626" s="9"/>
    </row>
    <row r="627" ht="21.0" customHeight="1">
      <c r="A627" s="9"/>
      <c r="B627" s="9"/>
      <c r="C627" s="9"/>
      <c r="D627" s="9"/>
      <c r="E627" s="9"/>
      <c r="F627" s="9"/>
      <c r="G627" s="9"/>
    </row>
    <row r="628" ht="21.0" customHeight="1">
      <c r="A628" s="9"/>
      <c r="B628" s="9"/>
      <c r="C628" s="9"/>
      <c r="D628" s="9"/>
      <c r="E628" s="9"/>
      <c r="F628" s="9"/>
      <c r="G628" s="9"/>
    </row>
    <row r="629" ht="21.0" customHeight="1">
      <c r="A629" s="9"/>
      <c r="B629" s="9"/>
      <c r="C629" s="9"/>
      <c r="D629" s="9"/>
      <c r="E629" s="9"/>
      <c r="F629" s="9"/>
      <c r="G629" s="9"/>
    </row>
    <row r="630" ht="21.0" customHeight="1">
      <c r="A630" s="9"/>
      <c r="B630" s="9"/>
      <c r="C630" s="9"/>
      <c r="D630" s="9"/>
      <c r="E630" s="9"/>
      <c r="F630" s="9"/>
      <c r="G630" s="9"/>
    </row>
    <row r="631" ht="21.0" customHeight="1">
      <c r="A631" s="9"/>
      <c r="B631" s="9"/>
      <c r="C631" s="9"/>
      <c r="D631" s="9"/>
      <c r="E631" s="9"/>
      <c r="F631" s="9"/>
      <c r="G631" s="9"/>
    </row>
    <row r="632" ht="21.0" customHeight="1">
      <c r="A632" s="9"/>
      <c r="B632" s="9"/>
      <c r="C632" s="9"/>
      <c r="D632" s="9"/>
      <c r="E632" s="9"/>
      <c r="F632" s="9"/>
      <c r="G632" s="9"/>
    </row>
    <row r="633" ht="21.0" customHeight="1">
      <c r="A633" s="9"/>
      <c r="B633" s="9"/>
      <c r="C633" s="9"/>
      <c r="D633" s="9"/>
      <c r="E633" s="9"/>
      <c r="F633" s="9"/>
      <c r="G633" s="9"/>
    </row>
    <row r="634" ht="21.0" customHeight="1">
      <c r="A634" s="9"/>
      <c r="B634" s="9"/>
      <c r="C634" s="9"/>
      <c r="D634" s="9"/>
      <c r="E634" s="9"/>
      <c r="F634" s="9"/>
      <c r="G634" s="9"/>
    </row>
    <row r="635" ht="21.0" customHeight="1">
      <c r="A635" s="9"/>
      <c r="B635" s="9"/>
      <c r="C635" s="9"/>
      <c r="D635" s="9"/>
      <c r="E635" s="9"/>
      <c r="F635" s="9"/>
      <c r="G635" s="9"/>
    </row>
    <row r="636" ht="21.0" customHeight="1">
      <c r="A636" s="9"/>
      <c r="B636" s="9"/>
      <c r="C636" s="9"/>
      <c r="D636" s="9"/>
      <c r="E636" s="9"/>
      <c r="F636" s="9"/>
      <c r="G636" s="9"/>
    </row>
    <row r="637" ht="21.0" customHeight="1">
      <c r="A637" s="9"/>
      <c r="B637" s="9"/>
      <c r="C637" s="9"/>
      <c r="D637" s="9"/>
      <c r="E637" s="9"/>
      <c r="F637" s="9"/>
      <c r="G637" s="9"/>
    </row>
    <row r="638" ht="21.0" customHeight="1">
      <c r="A638" s="9"/>
      <c r="B638" s="9"/>
      <c r="C638" s="9"/>
      <c r="D638" s="9"/>
      <c r="E638" s="9"/>
      <c r="F638" s="9"/>
      <c r="G638" s="9"/>
    </row>
    <row r="639" ht="21.0" customHeight="1">
      <c r="A639" s="9"/>
      <c r="B639" s="9"/>
      <c r="C639" s="9"/>
      <c r="D639" s="9"/>
      <c r="E639" s="9"/>
      <c r="F639" s="9"/>
      <c r="G639" s="9"/>
    </row>
    <row r="640" ht="21.0" customHeight="1">
      <c r="A640" s="9"/>
      <c r="B640" s="9"/>
      <c r="C640" s="9"/>
      <c r="D640" s="9"/>
      <c r="E640" s="9"/>
      <c r="F640" s="9"/>
      <c r="G640" s="9"/>
    </row>
    <row r="641" ht="21.0" customHeight="1">
      <c r="A641" s="9"/>
      <c r="B641" s="9"/>
      <c r="C641" s="9"/>
      <c r="D641" s="9"/>
      <c r="E641" s="9"/>
      <c r="F641" s="9"/>
      <c r="G641" s="9"/>
    </row>
    <row r="642" ht="21.0" customHeight="1">
      <c r="A642" s="9"/>
      <c r="B642" s="9"/>
      <c r="C642" s="9"/>
      <c r="D642" s="9"/>
      <c r="E642" s="9"/>
      <c r="F642" s="9"/>
      <c r="G642" s="9"/>
    </row>
    <row r="643" ht="21.0" customHeight="1">
      <c r="A643" s="9"/>
      <c r="B643" s="9"/>
      <c r="C643" s="9"/>
      <c r="D643" s="9"/>
      <c r="E643" s="9"/>
      <c r="F643" s="9"/>
      <c r="G643" s="9"/>
    </row>
    <row r="644" ht="21.0" customHeight="1">
      <c r="A644" s="9"/>
      <c r="B644" s="9"/>
      <c r="C644" s="9"/>
      <c r="D644" s="9"/>
      <c r="E644" s="9"/>
      <c r="F644" s="9"/>
      <c r="G644" s="9"/>
    </row>
    <row r="645" ht="21.0" customHeight="1">
      <c r="A645" s="9"/>
      <c r="B645" s="9"/>
      <c r="C645" s="9"/>
      <c r="D645" s="9"/>
      <c r="E645" s="9"/>
      <c r="F645" s="9"/>
      <c r="G645" s="9"/>
    </row>
    <row r="646" ht="21.0" customHeight="1">
      <c r="A646" s="9"/>
      <c r="B646" s="9"/>
      <c r="C646" s="9"/>
      <c r="D646" s="9"/>
      <c r="E646" s="9"/>
      <c r="F646" s="9"/>
      <c r="G646" s="9"/>
    </row>
    <row r="647" ht="21.0" customHeight="1">
      <c r="A647" s="9"/>
      <c r="B647" s="9"/>
      <c r="C647" s="9"/>
      <c r="D647" s="9"/>
      <c r="E647" s="9"/>
      <c r="F647" s="9"/>
      <c r="G647" s="9"/>
    </row>
    <row r="648" ht="21.0" customHeight="1">
      <c r="A648" s="9"/>
      <c r="B648" s="9"/>
      <c r="C648" s="9"/>
      <c r="D648" s="9"/>
      <c r="E648" s="9"/>
      <c r="F648" s="9"/>
      <c r="G648" s="9"/>
    </row>
    <row r="649" ht="21.0" customHeight="1">
      <c r="A649" s="9"/>
      <c r="B649" s="9"/>
      <c r="C649" s="9"/>
      <c r="D649" s="9"/>
      <c r="E649" s="9"/>
      <c r="F649" s="9"/>
      <c r="G649" s="9"/>
    </row>
    <row r="650" ht="21.0" customHeight="1">
      <c r="A650" s="9"/>
      <c r="B650" s="9"/>
      <c r="C650" s="9"/>
      <c r="D650" s="9"/>
      <c r="E650" s="9"/>
      <c r="F650" s="9"/>
      <c r="G650" s="9"/>
    </row>
    <row r="651" ht="21.0" customHeight="1">
      <c r="A651" s="9"/>
      <c r="B651" s="9"/>
      <c r="C651" s="9"/>
      <c r="D651" s="9"/>
      <c r="E651" s="9"/>
      <c r="F651" s="9"/>
      <c r="G651" s="9"/>
    </row>
    <row r="652" ht="21.0" customHeight="1">
      <c r="A652" s="9"/>
      <c r="B652" s="9"/>
      <c r="C652" s="9"/>
      <c r="D652" s="9"/>
      <c r="E652" s="9"/>
      <c r="F652" s="9"/>
      <c r="G652" s="9"/>
    </row>
    <row r="653" ht="21.0" customHeight="1">
      <c r="A653" s="9"/>
      <c r="B653" s="9"/>
      <c r="C653" s="9"/>
      <c r="D653" s="9"/>
      <c r="E653" s="9"/>
      <c r="F653" s="9"/>
      <c r="G653" s="9"/>
    </row>
    <row r="654" ht="21.0" customHeight="1">
      <c r="A654" s="9"/>
      <c r="B654" s="9"/>
      <c r="C654" s="9"/>
      <c r="D654" s="9"/>
      <c r="E654" s="9"/>
      <c r="F654" s="9"/>
      <c r="G654" s="9"/>
    </row>
    <row r="655" ht="21.0" customHeight="1">
      <c r="A655" s="9"/>
      <c r="B655" s="9"/>
      <c r="C655" s="9"/>
      <c r="D655" s="9"/>
      <c r="E655" s="9"/>
      <c r="F655" s="9"/>
      <c r="G655" s="9"/>
    </row>
    <row r="656" ht="21.0" customHeight="1">
      <c r="A656" s="9"/>
      <c r="B656" s="9"/>
      <c r="C656" s="9"/>
      <c r="D656" s="9"/>
      <c r="E656" s="9"/>
      <c r="F656" s="9"/>
      <c r="G656" s="9"/>
    </row>
    <row r="657" ht="21.0" customHeight="1">
      <c r="A657" s="9"/>
      <c r="B657" s="9"/>
      <c r="C657" s="9"/>
      <c r="D657" s="9"/>
      <c r="E657" s="9"/>
      <c r="F657" s="9"/>
      <c r="G657" s="9"/>
    </row>
    <row r="658" ht="21.0" customHeight="1">
      <c r="A658" s="9"/>
      <c r="B658" s="9"/>
      <c r="C658" s="9"/>
      <c r="D658" s="9"/>
      <c r="E658" s="9"/>
      <c r="F658" s="9"/>
      <c r="G658" s="9"/>
    </row>
    <row r="659" ht="21.0" customHeight="1">
      <c r="A659" s="9"/>
      <c r="B659" s="9"/>
      <c r="C659" s="9"/>
      <c r="D659" s="9"/>
      <c r="E659" s="9"/>
      <c r="F659" s="9"/>
      <c r="G659" s="9"/>
    </row>
    <row r="660" ht="21.0" customHeight="1">
      <c r="A660" s="9"/>
      <c r="B660" s="9"/>
      <c r="C660" s="9"/>
      <c r="D660" s="9"/>
      <c r="E660" s="9"/>
      <c r="F660" s="9"/>
      <c r="G660" s="9"/>
    </row>
    <row r="661" ht="21.0" customHeight="1">
      <c r="A661" s="9"/>
      <c r="B661" s="9"/>
      <c r="C661" s="9"/>
      <c r="D661" s="9"/>
      <c r="E661" s="9"/>
      <c r="F661" s="9"/>
      <c r="G661" s="9"/>
    </row>
    <row r="662" ht="21.0" customHeight="1">
      <c r="A662" s="9"/>
      <c r="B662" s="9"/>
      <c r="C662" s="9"/>
      <c r="D662" s="9"/>
      <c r="E662" s="9"/>
      <c r="F662" s="9"/>
      <c r="G662" s="9"/>
    </row>
    <row r="663" ht="21.0" customHeight="1">
      <c r="A663" s="9"/>
      <c r="B663" s="9"/>
      <c r="C663" s="9"/>
      <c r="D663" s="9"/>
      <c r="E663" s="9"/>
      <c r="F663" s="9"/>
      <c r="G663" s="9"/>
    </row>
    <row r="664" ht="21.0" customHeight="1">
      <c r="A664" s="9"/>
      <c r="B664" s="9"/>
      <c r="C664" s="9"/>
      <c r="D664" s="9"/>
      <c r="E664" s="9"/>
      <c r="F664" s="9"/>
      <c r="G664" s="9"/>
    </row>
    <row r="665" ht="21.0" customHeight="1">
      <c r="A665" s="9"/>
      <c r="B665" s="9"/>
      <c r="C665" s="9"/>
      <c r="D665" s="9"/>
      <c r="E665" s="9"/>
      <c r="F665" s="9"/>
      <c r="G665" s="9"/>
    </row>
    <row r="666" ht="21.0" customHeight="1">
      <c r="A666" s="9"/>
      <c r="B666" s="9"/>
      <c r="C666" s="9"/>
      <c r="D666" s="9"/>
      <c r="E666" s="9"/>
      <c r="F666" s="9"/>
      <c r="G666" s="9"/>
    </row>
    <row r="667" ht="21.0" customHeight="1">
      <c r="A667" s="9"/>
      <c r="B667" s="9"/>
      <c r="C667" s="9"/>
      <c r="D667" s="9"/>
      <c r="E667" s="9"/>
      <c r="F667" s="9"/>
      <c r="G667" s="9"/>
    </row>
    <row r="668" ht="21.0" customHeight="1">
      <c r="A668" s="9"/>
      <c r="B668" s="9"/>
      <c r="C668" s="9"/>
      <c r="D668" s="9"/>
      <c r="E668" s="9"/>
      <c r="F668" s="9"/>
      <c r="G668" s="9"/>
    </row>
    <row r="669" ht="21.0" customHeight="1">
      <c r="A669" s="9"/>
      <c r="B669" s="9"/>
      <c r="C669" s="9"/>
      <c r="D669" s="9"/>
      <c r="E669" s="9"/>
      <c r="F669" s="9"/>
      <c r="G669" s="9"/>
    </row>
    <row r="670" ht="21.0" customHeight="1">
      <c r="A670" s="9"/>
      <c r="B670" s="9"/>
      <c r="C670" s="9"/>
      <c r="D670" s="9"/>
      <c r="E670" s="9"/>
      <c r="F670" s="9"/>
      <c r="G670" s="9"/>
    </row>
    <row r="671" ht="21.0" customHeight="1">
      <c r="A671" s="9"/>
      <c r="B671" s="9"/>
      <c r="C671" s="9"/>
      <c r="D671" s="9"/>
      <c r="E671" s="9"/>
      <c r="F671" s="9"/>
      <c r="G671" s="9"/>
    </row>
    <row r="672" ht="21.0" customHeight="1">
      <c r="A672" s="9"/>
      <c r="B672" s="9"/>
      <c r="C672" s="9"/>
      <c r="D672" s="9"/>
      <c r="E672" s="9"/>
      <c r="F672" s="9"/>
      <c r="G672" s="9"/>
    </row>
    <row r="673" ht="21.0" customHeight="1">
      <c r="A673" s="9"/>
      <c r="B673" s="9"/>
      <c r="C673" s="9"/>
      <c r="D673" s="9"/>
      <c r="E673" s="9"/>
      <c r="F673" s="9"/>
      <c r="G673" s="9"/>
    </row>
    <row r="674" ht="21.0" customHeight="1">
      <c r="A674" s="9"/>
      <c r="B674" s="9"/>
      <c r="C674" s="9"/>
      <c r="D674" s="9"/>
      <c r="E674" s="9"/>
      <c r="F674" s="9"/>
      <c r="G674" s="9"/>
    </row>
    <row r="675" ht="21.0" customHeight="1">
      <c r="A675" s="9"/>
      <c r="B675" s="9"/>
      <c r="C675" s="9"/>
      <c r="D675" s="9"/>
      <c r="E675" s="9"/>
      <c r="F675" s="9"/>
      <c r="G675" s="9"/>
    </row>
    <row r="676" ht="21.0" customHeight="1">
      <c r="A676" s="9"/>
      <c r="B676" s="9"/>
      <c r="C676" s="9"/>
      <c r="D676" s="9"/>
      <c r="E676" s="9"/>
      <c r="F676" s="9"/>
      <c r="G676" s="9"/>
    </row>
    <row r="677" ht="21.0" customHeight="1">
      <c r="A677" s="9"/>
      <c r="B677" s="9"/>
      <c r="C677" s="9"/>
      <c r="D677" s="9"/>
      <c r="E677" s="9"/>
      <c r="F677" s="9"/>
      <c r="G677" s="9"/>
    </row>
    <row r="678" ht="21.0" customHeight="1">
      <c r="A678" s="9"/>
      <c r="B678" s="9"/>
      <c r="C678" s="9"/>
      <c r="D678" s="9"/>
      <c r="E678" s="9"/>
      <c r="F678" s="9"/>
      <c r="G678" s="9"/>
    </row>
    <row r="679" ht="21.0" customHeight="1">
      <c r="A679" s="9"/>
      <c r="B679" s="9"/>
      <c r="C679" s="9"/>
      <c r="D679" s="9"/>
      <c r="E679" s="9"/>
      <c r="F679" s="9"/>
      <c r="G679" s="9"/>
    </row>
    <row r="680" ht="21.0" customHeight="1">
      <c r="A680" s="9"/>
      <c r="B680" s="9"/>
      <c r="C680" s="9"/>
      <c r="D680" s="9"/>
      <c r="E680" s="9"/>
      <c r="F680" s="9"/>
      <c r="G680" s="9"/>
    </row>
    <row r="681" ht="21.0" customHeight="1">
      <c r="A681" s="9"/>
      <c r="B681" s="9"/>
      <c r="C681" s="9"/>
      <c r="D681" s="9"/>
      <c r="E681" s="9"/>
      <c r="F681" s="9"/>
      <c r="G681" s="9"/>
    </row>
    <row r="682" ht="21.0" customHeight="1">
      <c r="A682" s="9"/>
      <c r="B682" s="9"/>
      <c r="C682" s="9"/>
      <c r="D682" s="9"/>
      <c r="E682" s="9"/>
      <c r="F682" s="9"/>
      <c r="G682" s="9"/>
    </row>
    <row r="683" ht="21.0" customHeight="1">
      <c r="A683" s="9"/>
      <c r="B683" s="9"/>
      <c r="C683" s="9"/>
      <c r="D683" s="9"/>
      <c r="E683" s="9"/>
      <c r="F683" s="9"/>
      <c r="G683" s="9"/>
    </row>
    <row r="684" ht="21.0" customHeight="1">
      <c r="A684" s="9"/>
      <c r="B684" s="9"/>
      <c r="C684" s="9"/>
      <c r="D684" s="9"/>
      <c r="E684" s="9"/>
      <c r="F684" s="9"/>
      <c r="G684" s="9"/>
    </row>
    <row r="685" ht="21.0" customHeight="1">
      <c r="A685" s="9"/>
      <c r="B685" s="9"/>
      <c r="C685" s="9"/>
      <c r="D685" s="9"/>
      <c r="E685" s="9"/>
      <c r="F685" s="9"/>
      <c r="G685" s="9"/>
    </row>
    <row r="686" ht="21.0" customHeight="1">
      <c r="A686" s="9"/>
      <c r="B686" s="9"/>
      <c r="C686" s="9"/>
      <c r="D686" s="9"/>
      <c r="E686" s="9"/>
      <c r="F686" s="9"/>
      <c r="G686" s="9"/>
    </row>
    <row r="687" ht="21.0" customHeight="1">
      <c r="A687" s="9"/>
      <c r="B687" s="9"/>
      <c r="C687" s="9"/>
      <c r="D687" s="9"/>
      <c r="E687" s="9"/>
      <c r="F687" s="9"/>
      <c r="G687" s="9"/>
    </row>
    <row r="688" ht="21.0" customHeight="1">
      <c r="A688" s="9"/>
      <c r="B688" s="9"/>
      <c r="C688" s="9"/>
      <c r="D688" s="9"/>
      <c r="E688" s="9"/>
      <c r="F688" s="9"/>
      <c r="G688" s="9"/>
    </row>
    <row r="689" ht="21.0" customHeight="1">
      <c r="A689" s="9"/>
      <c r="B689" s="9"/>
      <c r="C689" s="9"/>
      <c r="D689" s="9"/>
      <c r="E689" s="9"/>
      <c r="F689" s="9"/>
      <c r="G689" s="9"/>
    </row>
    <row r="690" ht="21.0" customHeight="1">
      <c r="A690" s="9"/>
      <c r="B690" s="9"/>
      <c r="C690" s="9"/>
      <c r="D690" s="9"/>
      <c r="E690" s="9"/>
      <c r="F690" s="9"/>
      <c r="G690" s="9"/>
    </row>
    <row r="691" ht="21.0" customHeight="1">
      <c r="A691" s="9"/>
      <c r="B691" s="9"/>
      <c r="C691" s="9"/>
      <c r="D691" s="9"/>
      <c r="E691" s="9"/>
      <c r="F691" s="9"/>
      <c r="G691" s="9"/>
    </row>
    <row r="692" ht="21.0" customHeight="1">
      <c r="A692" s="9"/>
      <c r="B692" s="9"/>
      <c r="C692" s="9"/>
      <c r="D692" s="9"/>
      <c r="E692" s="9"/>
      <c r="F692" s="9"/>
      <c r="G692" s="9"/>
    </row>
    <row r="693" ht="21.0" customHeight="1">
      <c r="A693" s="9"/>
      <c r="B693" s="9"/>
      <c r="C693" s="9"/>
      <c r="D693" s="9"/>
      <c r="E693" s="9"/>
      <c r="F693" s="9"/>
      <c r="G693" s="9"/>
    </row>
    <row r="694" ht="21.0" customHeight="1">
      <c r="A694" s="9"/>
      <c r="B694" s="9"/>
      <c r="C694" s="9"/>
      <c r="D694" s="9"/>
      <c r="E694" s="9"/>
      <c r="F694" s="9"/>
      <c r="G694" s="9"/>
    </row>
    <row r="695" ht="21.0" customHeight="1">
      <c r="A695" s="9"/>
      <c r="B695" s="9"/>
      <c r="C695" s="9"/>
      <c r="D695" s="9"/>
      <c r="E695" s="9"/>
      <c r="F695" s="9"/>
      <c r="G695" s="9"/>
    </row>
    <row r="696" ht="21.0" customHeight="1">
      <c r="A696" s="9"/>
      <c r="B696" s="9"/>
      <c r="C696" s="9"/>
      <c r="D696" s="9"/>
      <c r="E696" s="9"/>
      <c r="F696" s="9"/>
      <c r="G696" s="9"/>
    </row>
    <row r="697" ht="21.0" customHeight="1">
      <c r="A697" s="9"/>
      <c r="B697" s="9"/>
      <c r="C697" s="9"/>
      <c r="D697" s="9"/>
      <c r="E697" s="9"/>
      <c r="F697" s="9"/>
      <c r="G697" s="9"/>
    </row>
    <row r="698" ht="21.0" customHeight="1">
      <c r="A698" s="9"/>
      <c r="B698" s="9"/>
      <c r="C698" s="9"/>
      <c r="D698" s="9"/>
      <c r="E698" s="9"/>
      <c r="F698" s="9"/>
      <c r="G698" s="9"/>
    </row>
    <row r="699" ht="21.0" customHeight="1">
      <c r="A699" s="9"/>
      <c r="B699" s="9"/>
      <c r="C699" s="9"/>
      <c r="D699" s="9"/>
      <c r="E699" s="9"/>
      <c r="F699" s="9"/>
      <c r="G699" s="9"/>
    </row>
    <row r="700" ht="21.0" customHeight="1">
      <c r="A700" s="9"/>
      <c r="B700" s="9"/>
      <c r="C700" s="9"/>
      <c r="D700" s="9"/>
      <c r="E700" s="9"/>
      <c r="F700" s="9"/>
      <c r="G700" s="9"/>
    </row>
    <row r="701" ht="21.0" customHeight="1">
      <c r="A701" s="9"/>
      <c r="B701" s="9"/>
      <c r="C701" s="9"/>
      <c r="D701" s="9"/>
      <c r="E701" s="9"/>
      <c r="F701" s="9"/>
      <c r="G701" s="9"/>
    </row>
    <row r="702" ht="21.0" customHeight="1">
      <c r="A702" s="9"/>
      <c r="B702" s="9"/>
      <c r="C702" s="9"/>
      <c r="D702" s="9"/>
      <c r="E702" s="9"/>
      <c r="F702" s="9"/>
      <c r="G702" s="9"/>
    </row>
    <row r="703" ht="21.0" customHeight="1">
      <c r="A703" s="9"/>
      <c r="B703" s="9"/>
      <c r="C703" s="9"/>
      <c r="D703" s="9"/>
      <c r="E703" s="9"/>
      <c r="F703" s="9"/>
      <c r="G703" s="9"/>
    </row>
    <row r="704" ht="21.0" customHeight="1">
      <c r="A704" s="9"/>
      <c r="B704" s="9"/>
      <c r="C704" s="9"/>
      <c r="D704" s="9"/>
      <c r="E704" s="9"/>
      <c r="F704" s="9"/>
      <c r="G704" s="9"/>
    </row>
    <row r="705" ht="21.0" customHeight="1">
      <c r="A705" s="9"/>
      <c r="B705" s="9"/>
      <c r="C705" s="9"/>
      <c r="D705" s="9"/>
      <c r="E705" s="9"/>
      <c r="F705" s="9"/>
      <c r="G705" s="9"/>
    </row>
    <row r="706" ht="21.0" customHeight="1">
      <c r="A706" s="9"/>
      <c r="B706" s="9"/>
      <c r="C706" s="9"/>
      <c r="D706" s="9"/>
      <c r="E706" s="9"/>
      <c r="F706" s="9"/>
      <c r="G706" s="9"/>
    </row>
    <row r="707" ht="21.0" customHeight="1">
      <c r="A707" s="9"/>
      <c r="B707" s="9"/>
      <c r="C707" s="9"/>
      <c r="D707" s="9"/>
      <c r="E707" s="9"/>
      <c r="F707" s="9"/>
      <c r="G707" s="9"/>
    </row>
    <row r="708" ht="21.0" customHeight="1">
      <c r="A708" s="9"/>
      <c r="B708" s="9"/>
      <c r="C708" s="9"/>
      <c r="D708" s="9"/>
      <c r="E708" s="9"/>
      <c r="F708" s="9"/>
      <c r="G708" s="9"/>
    </row>
    <row r="709" ht="21.0" customHeight="1">
      <c r="A709" s="9"/>
      <c r="B709" s="9"/>
      <c r="C709" s="9"/>
      <c r="D709" s="9"/>
      <c r="E709" s="9"/>
      <c r="F709" s="9"/>
      <c r="G709" s="9"/>
    </row>
    <row r="710" ht="21.0" customHeight="1">
      <c r="A710" s="9"/>
      <c r="B710" s="9"/>
      <c r="C710" s="9"/>
      <c r="D710" s="9"/>
      <c r="E710" s="9"/>
      <c r="F710" s="9"/>
      <c r="G710" s="9"/>
    </row>
    <row r="711" ht="21.0" customHeight="1">
      <c r="A711" s="9"/>
      <c r="B711" s="9"/>
      <c r="C711" s="9"/>
      <c r="D711" s="9"/>
      <c r="E711" s="9"/>
      <c r="F711" s="9"/>
      <c r="G711" s="9"/>
    </row>
    <row r="712" ht="21.0" customHeight="1">
      <c r="A712" s="9"/>
      <c r="B712" s="9"/>
      <c r="C712" s="9"/>
      <c r="D712" s="9"/>
      <c r="E712" s="9"/>
      <c r="F712" s="9"/>
      <c r="G712" s="9"/>
    </row>
    <row r="713" ht="21.0" customHeight="1">
      <c r="A713" s="9"/>
      <c r="B713" s="9"/>
      <c r="C713" s="9"/>
      <c r="D713" s="9"/>
      <c r="E713" s="9"/>
      <c r="F713" s="9"/>
      <c r="G713" s="9"/>
    </row>
    <row r="714" ht="21.0" customHeight="1">
      <c r="A714" s="9"/>
      <c r="B714" s="9"/>
      <c r="C714" s="9"/>
      <c r="D714" s="9"/>
      <c r="E714" s="9"/>
      <c r="F714" s="9"/>
      <c r="G714" s="9"/>
    </row>
    <row r="715" ht="21.0" customHeight="1">
      <c r="A715" s="9"/>
      <c r="B715" s="9"/>
      <c r="C715" s="9"/>
      <c r="D715" s="9"/>
      <c r="E715" s="9"/>
      <c r="F715" s="9"/>
      <c r="G715" s="9"/>
    </row>
    <row r="716" ht="21.0" customHeight="1">
      <c r="A716" s="9"/>
      <c r="B716" s="9"/>
      <c r="C716" s="9"/>
      <c r="D716" s="9"/>
      <c r="E716" s="9"/>
      <c r="F716" s="9"/>
      <c r="G716" s="9"/>
    </row>
    <row r="717" ht="21.0" customHeight="1">
      <c r="A717" s="9"/>
      <c r="B717" s="9"/>
      <c r="C717" s="9"/>
      <c r="D717" s="9"/>
      <c r="E717" s="9"/>
      <c r="F717" s="9"/>
      <c r="G717" s="9"/>
    </row>
    <row r="718" ht="21.0" customHeight="1">
      <c r="A718" s="9"/>
      <c r="B718" s="9"/>
      <c r="C718" s="9"/>
      <c r="D718" s="9"/>
      <c r="E718" s="9"/>
      <c r="F718" s="9"/>
      <c r="G718" s="9"/>
    </row>
    <row r="719" ht="21.0" customHeight="1">
      <c r="A719" s="9"/>
      <c r="B719" s="9"/>
      <c r="C719" s="9"/>
      <c r="D719" s="9"/>
      <c r="E719" s="9"/>
      <c r="F719" s="9"/>
      <c r="G719" s="9"/>
    </row>
    <row r="720" ht="21.0" customHeight="1">
      <c r="A720" s="9"/>
      <c r="B720" s="9"/>
      <c r="C720" s="9"/>
      <c r="D720" s="9"/>
      <c r="E720" s="9"/>
      <c r="F720" s="9"/>
      <c r="G720" s="9"/>
    </row>
    <row r="721" ht="21.0" customHeight="1">
      <c r="A721" s="9"/>
      <c r="B721" s="9"/>
      <c r="C721" s="9"/>
      <c r="D721" s="9"/>
      <c r="E721" s="9"/>
      <c r="F721" s="9"/>
      <c r="G721" s="9"/>
    </row>
    <row r="722" ht="21.0" customHeight="1">
      <c r="A722" s="9"/>
      <c r="B722" s="9"/>
      <c r="C722" s="9"/>
      <c r="D722" s="9"/>
      <c r="E722" s="9"/>
      <c r="F722" s="9"/>
      <c r="G722" s="9"/>
    </row>
    <row r="723" ht="21.0" customHeight="1">
      <c r="A723" s="9"/>
      <c r="B723" s="9"/>
      <c r="C723" s="9"/>
      <c r="D723" s="9"/>
      <c r="E723" s="9"/>
      <c r="F723" s="9"/>
      <c r="G723" s="9"/>
    </row>
    <row r="724" ht="21.0" customHeight="1">
      <c r="A724" s="9"/>
      <c r="B724" s="9"/>
      <c r="C724" s="9"/>
      <c r="D724" s="9"/>
      <c r="E724" s="9"/>
      <c r="F724" s="9"/>
      <c r="G724" s="9"/>
    </row>
    <row r="725" ht="21.0" customHeight="1">
      <c r="A725" s="9"/>
      <c r="B725" s="9"/>
      <c r="C725" s="9"/>
      <c r="D725" s="9"/>
      <c r="E725" s="9"/>
      <c r="F725" s="9"/>
      <c r="G725" s="9"/>
    </row>
    <row r="726" ht="21.0" customHeight="1">
      <c r="A726" s="9"/>
      <c r="B726" s="9"/>
      <c r="C726" s="9"/>
      <c r="D726" s="9"/>
      <c r="E726" s="9"/>
      <c r="F726" s="9"/>
      <c r="G726" s="9"/>
    </row>
    <row r="727" ht="21.0" customHeight="1">
      <c r="A727" s="9"/>
      <c r="B727" s="9"/>
      <c r="C727" s="9"/>
      <c r="D727" s="9"/>
      <c r="E727" s="9"/>
      <c r="F727" s="9"/>
      <c r="G727" s="9"/>
    </row>
    <row r="728" ht="21.0" customHeight="1">
      <c r="A728" s="9"/>
      <c r="B728" s="9"/>
      <c r="C728" s="9"/>
      <c r="D728" s="9"/>
      <c r="E728" s="9"/>
      <c r="F728" s="9"/>
      <c r="G728" s="9"/>
    </row>
    <row r="729" ht="21.0" customHeight="1">
      <c r="A729" s="9"/>
      <c r="B729" s="9"/>
      <c r="C729" s="9"/>
      <c r="D729" s="9"/>
      <c r="E729" s="9"/>
      <c r="F729" s="9"/>
      <c r="G729" s="9"/>
    </row>
    <row r="730" ht="21.0" customHeight="1">
      <c r="A730" s="9"/>
      <c r="B730" s="9"/>
      <c r="C730" s="9"/>
      <c r="D730" s="9"/>
      <c r="E730" s="9"/>
      <c r="F730" s="9"/>
      <c r="G730" s="9"/>
    </row>
    <row r="731" ht="21.0" customHeight="1">
      <c r="A731" s="9"/>
      <c r="B731" s="9"/>
      <c r="C731" s="9"/>
      <c r="D731" s="9"/>
      <c r="E731" s="9"/>
      <c r="F731" s="9"/>
      <c r="G731" s="9"/>
    </row>
    <row r="732" ht="21.0" customHeight="1">
      <c r="A732" s="9"/>
      <c r="B732" s="9"/>
      <c r="C732" s="9"/>
      <c r="D732" s="9"/>
      <c r="E732" s="9"/>
      <c r="F732" s="9"/>
      <c r="G732" s="9"/>
    </row>
    <row r="733" ht="21.0" customHeight="1">
      <c r="A733" s="9"/>
      <c r="B733" s="9"/>
      <c r="C733" s="9"/>
      <c r="D733" s="9"/>
      <c r="E733" s="9"/>
      <c r="F733" s="9"/>
      <c r="G733" s="9"/>
    </row>
    <row r="734" ht="21.0" customHeight="1">
      <c r="A734" s="9"/>
      <c r="B734" s="9"/>
      <c r="C734" s="9"/>
      <c r="D734" s="9"/>
      <c r="E734" s="9"/>
      <c r="F734" s="9"/>
      <c r="G734" s="9"/>
    </row>
    <row r="735" ht="21.0" customHeight="1">
      <c r="A735" s="9"/>
      <c r="B735" s="9"/>
      <c r="C735" s="9"/>
      <c r="D735" s="9"/>
      <c r="E735" s="9"/>
      <c r="F735" s="9"/>
      <c r="G735" s="9"/>
    </row>
    <row r="736" ht="21.0" customHeight="1">
      <c r="A736" s="9"/>
      <c r="B736" s="9"/>
      <c r="C736" s="9"/>
      <c r="D736" s="9"/>
      <c r="E736" s="9"/>
      <c r="F736" s="9"/>
      <c r="G736" s="9"/>
    </row>
    <row r="737" ht="21.0" customHeight="1">
      <c r="A737" s="9"/>
      <c r="B737" s="9"/>
      <c r="C737" s="9"/>
      <c r="D737" s="9"/>
      <c r="E737" s="9"/>
      <c r="F737" s="9"/>
      <c r="G737" s="9"/>
    </row>
    <row r="738" ht="21.0" customHeight="1">
      <c r="A738" s="9"/>
      <c r="B738" s="9"/>
      <c r="C738" s="9"/>
      <c r="D738" s="9"/>
      <c r="E738" s="9"/>
      <c r="F738" s="9"/>
      <c r="G738" s="9"/>
    </row>
    <row r="739" ht="21.0" customHeight="1">
      <c r="A739" s="9"/>
      <c r="B739" s="9"/>
      <c r="C739" s="9"/>
      <c r="D739" s="9"/>
      <c r="E739" s="9"/>
      <c r="F739" s="9"/>
      <c r="G739" s="9"/>
    </row>
    <row r="740" ht="21.0" customHeight="1">
      <c r="A740" s="9"/>
      <c r="B740" s="9"/>
      <c r="C740" s="9"/>
      <c r="D740" s="9"/>
      <c r="E740" s="9"/>
      <c r="F740" s="9"/>
      <c r="G740" s="9"/>
    </row>
    <row r="741" ht="21.0" customHeight="1">
      <c r="A741" s="9"/>
      <c r="B741" s="9"/>
      <c r="C741" s="9"/>
      <c r="D741" s="9"/>
      <c r="E741" s="9"/>
      <c r="F741" s="9"/>
      <c r="G741" s="9"/>
    </row>
    <row r="742" ht="21.0" customHeight="1">
      <c r="A742" s="9"/>
      <c r="B742" s="9"/>
      <c r="C742" s="9"/>
      <c r="D742" s="9"/>
      <c r="E742" s="9"/>
      <c r="F742" s="9"/>
      <c r="G742" s="9"/>
    </row>
    <row r="743" ht="21.0" customHeight="1">
      <c r="A743" s="9"/>
      <c r="B743" s="9"/>
      <c r="C743" s="9"/>
      <c r="D743" s="9"/>
      <c r="E743" s="9"/>
      <c r="F743" s="9"/>
      <c r="G743" s="9"/>
    </row>
    <row r="744" ht="21.0" customHeight="1">
      <c r="A744" s="9"/>
      <c r="B744" s="9"/>
      <c r="C744" s="9"/>
      <c r="D744" s="9"/>
      <c r="E744" s="9"/>
      <c r="F744" s="9"/>
      <c r="G744" s="9"/>
    </row>
    <row r="745" ht="21.0" customHeight="1">
      <c r="A745" s="9"/>
      <c r="B745" s="9"/>
      <c r="C745" s="9"/>
      <c r="D745" s="9"/>
      <c r="E745" s="9"/>
      <c r="F745" s="9"/>
      <c r="G745" s="9"/>
    </row>
    <row r="746" ht="21.0" customHeight="1">
      <c r="A746" s="9"/>
      <c r="B746" s="9"/>
      <c r="C746" s="9"/>
      <c r="D746" s="9"/>
      <c r="E746" s="9"/>
      <c r="F746" s="9"/>
      <c r="G746" s="9"/>
    </row>
    <row r="747" ht="21.0" customHeight="1">
      <c r="A747" s="9"/>
      <c r="B747" s="9"/>
      <c r="C747" s="9"/>
      <c r="D747" s="9"/>
      <c r="E747" s="9"/>
      <c r="F747" s="9"/>
      <c r="G747" s="9"/>
    </row>
    <row r="748" ht="21.0" customHeight="1">
      <c r="A748" s="9"/>
      <c r="B748" s="9"/>
      <c r="C748" s="9"/>
      <c r="D748" s="9"/>
      <c r="E748" s="9"/>
      <c r="F748" s="9"/>
      <c r="G748" s="9"/>
    </row>
    <row r="749" ht="21.0" customHeight="1">
      <c r="A749" s="9"/>
      <c r="B749" s="9"/>
      <c r="C749" s="9"/>
      <c r="D749" s="9"/>
      <c r="E749" s="9"/>
      <c r="F749" s="9"/>
      <c r="G749" s="9"/>
    </row>
    <row r="750" ht="21.0" customHeight="1">
      <c r="A750" s="9"/>
      <c r="B750" s="9"/>
      <c r="C750" s="9"/>
      <c r="D750" s="9"/>
      <c r="E750" s="9"/>
      <c r="F750" s="9"/>
      <c r="G750" s="9"/>
    </row>
    <row r="751" ht="21.0" customHeight="1">
      <c r="A751" s="9"/>
      <c r="B751" s="9"/>
      <c r="C751" s="9"/>
      <c r="D751" s="9"/>
      <c r="E751" s="9"/>
      <c r="F751" s="9"/>
      <c r="G751" s="9"/>
    </row>
    <row r="752" ht="21.0" customHeight="1">
      <c r="A752" s="9"/>
      <c r="B752" s="9"/>
      <c r="C752" s="9"/>
      <c r="D752" s="9"/>
      <c r="E752" s="9"/>
      <c r="F752" s="9"/>
      <c r="G752" s="9"/>
    </row>
    <row r="753" ht="21.0" customHeight="1">
      <c r="A753" s="9"/>
      <c r="B753" s="9"/>
      <c r="C753" s="9"/>
      <c r="D753" s="9"/>
      <c r="E753" s="9"/>
      <c r="F753" s="9"/>
      <c r="G753" s="9"/>
    </row>
    <row r="754" ht="21.0" customHeight="1">
      <c r="A754" s="9"/>
      <c r="B754" s="9"/>
      <c r="C754" s="9"/>
      <c r="D754" s="9"/>
      <c r="E754" s="9"/>
      <c r="F754" s="9"/>
      <c r="G754" s="9"/>
    </row>
    <row r="755" ht="21.0" customHeight="1">
      <c r="A755" s="9"/>
      <c r="B755" s="9"/>
      <c r="C755" s="9"/>
      <c r="D755" s="9"/>
      <c r="E755" s="9"/>
      <c r="F755" s="9"/>
      <c r="G755" s="9"/>
    </row>
    <row r="756" ht="21.0" customHeight="1">
      <c r="A756" s="9"/>
      <c r="B756" s="9"/>
      <c r="C756" s="9"/>
      <c r="D756" s="9"/>
      <c r="E756" s="9"/>
      <c r="F756" s="9"/>
      <c r="G756" s="9"/>
    </row>
    <row r="757" ht="21.0" customHeight="1">
      <c r="A757" s="9"/>
      <c r="B757" s="9"/>
      <c r="C757" s="9"/>
      <c r="D757" s="9"/>
      <c r="E757" s="9"/>
      <c r="F757" s="9"/>
      <c r="G757" s="9"/>
    </row>
    <row r="758" ht="21.0" customHeight="1">
      <c r="A758" s="9"/>
      <c r="B758" s="9"/>
      <c r="C758" s="9"/>
      <c r="D758" s="9"/>
      <c r="E758" s="9"/>
      <c r="F758" s="9"/>
      <c r="G758" s="9"/>
    </row>
    <row r="759" ht="21.0" customHeight="1">
      <c r="A759" s="9"/>
      <c r="B759" s="9"/>
      <c r="C759" s="9"/>
      <c r="D759" s="9"/>
      <c r="E759" s="9"/>
      <c r="F759" s="9"/>
      <c r="G759" s="9"/>
    </row>
    <row r="760" ht="21.0" customHeight="1">
      <c r="A760" s="9"/>
      <c r="B760" s="9"/>
      <c r="C760" s="9"/>
      <c r="D760" s="9"/>
      <c r="E760" s="9"/>
      <c r="F760" s="9"/>
      <c r="G760" s="9"/>
    </row>
    <row r="761" ht="21.0" customHeight="1">
      <c r="A761" s="9"/>
      <c r="B761" s="9"/>
      <c r="C761" s="9"/>
      <c r="D761" s="9"/>
      <c r="E761" s="9"/>
      <c r="F761" s="9"/>
      <c r="G761" s="9"/>
    </row>
    <row r="762" ht="21.0" customHeight="1">
      <c r="A762" s="9"/>
      <c r="B762" s="9"/>
      <c r="C762" s="9"/>
      <c r="D762" s="9"/>
      <c r="E762" s="9"/>
      <c r="F762" s="9"/>
      <c r="G762" s="9"/>
    </row>
    <row r="763" ht="21.0" customHeight="1">
      <c r="A763" s="9"/>
      <c r="B763" s="9"/>
      <c r="C763" s="9"/>
      <c r="D763" s="9"/>
      <c r="E763" s="9"/>
      <c r="F763" s="9"/>
      <c r="G763" s="9"/>
    </row>
    <row r="764" ht="21.0" customHeight="1">
      <c r="A764" s="9"/>
      <c r="B764" s="9"/>
      <c r="C764" s="9"/>
      <c r="D764" s="9"/>
      <c r="E764" s="9"/>
      <c r="F764" s="9"/>
      <c r="G764" s="9"/>
    </row>
    <row r="765" ht="21.0" customHeight="1">
      <c r="A765" s="9"/>
      <c r="B765" s="9"/>
      <c r="C765" s="9"/>
      <c r="D765" s="9"/>
      <c r="E765" s="9"/>
      <c r="F765" s="9"/>
      <c r="G765" s="9"/>
    </row>
    <row r="766" ht="21.0" customHeight="1">
      <c r="A766" s="9"/>
      <c r="B766" s="9"/>
      <c r="C766" s="9"/>
      <c r="D766" s="9"/>
      <c r="E766" s="9"/>
      <c r="F766" s="9"/>
      <c r="G766" s="9"/>
    </row>
    <row r="767" ht="21.0" customHeight="1">
      <c r="A767" s="9"/>
      <c r="B767" s="9"/>
      <c r="C767" s="9"/>
      <c r="D767" s="9"/>
      <c r="E767" s="9"/>
      <c r="F767" s="9"/>
      <c r="G767" s="9"/>
    </row>
    <row r="768" ht="21.0" customHeight="1">
      <c r="A768" s="9"/>
      <c r="B768" s="9"/>
      <c r="C768" s="9"/>
      <c r="D768" s="9"/>
      <c r="E768" s="9"/>
      <c r="F768" s="9"/>
      <c r="G768" s="9"/>
    </row>
    <row r="769" ht="21.0" customHeight="1">
      <c r="A769" s="9"/>
      <c r="B769" s="9"/>
      <c r="C769" s="9"/>
      <c r="D769" s="9"/>
      <c r="E769" s="9"/>
      <c r="F769" s="9"/>
      <c r="G769" s="9"/>
    </row>
    <row r="770" ht="21.0" customHeight="1">
      <c r="A770" s="9"/>
      <c r="B770" s="9"/>
      <c r="C770" s="9"/>
      <c r="D770" s="9"/>
      <c r="E770" s="9"/>
      <c r="F770" s="9"/>
      <c r="G770" s="9"/>
    </row>
    <row r="771" ht="21.0" customHeight="1">
      <c r="A771" s="9"/>
      <c r="B771" s="9"/>
      <c r="C771" s="9"/>
      <c r="D771" s="9"/>
      <c r="E771" s="9"/>
      <c r="F771" s="9"/>
      <c r="G771" s="9"/>
    </row>
    <row r="772" ht="21.0" customHeight="1">
      <c r="A772" s="9"/>
      <c r="B772" s="9"/>
      <c r="C772" s="9"/>
      <c r="D772" s="9"/>
      <c r="E772" s="9"/>
      <c r="F772" s="9"/>
      <c r="G772" s="9"/>
    </row>
    <row r="773" ht="21.0" customHeight="1">
      <c r="A773" s="9"/>
      <c r="B773" s="9"/>
      <c r="C773" s="9"/>
      <c r="D773" s="9"/>
      <c r="E773" s="9"/>
      <c r="F773" s="9"/>
      <c r="G773" s="9"/>
    </row>
    <row r="774" ht="21.0" customHeight="1">
      <c r="A774" s="9"/>
      <c r="B774" s="9"/>
      <c r="C774" s="9"/>
      <c r="D774" s="9"/>
      <c r="E774" s="9"/>
      <c r="F774" s="9"/>
      <c r="G774" s="9"/>
    </row>
    <row r="775" ht="21.0" customHeight="1">
      <c r="A775" s="9"/>
      <c r="B775" s="9"/>
      <c r="C775" s="9"/>
      <c r="D775" s="9"/>
      <c r="E775" s="9"/>
      <c r="F775" s="9"/>
      <c r="G775" s="9"/>
    </row>
    <row r="776" ht="21.0" customHeight="1">
      <c r="A776" s="9"/>
      <c r="B776" s="9"/>
      <c r="C776" s="9"/>
      <c r="D776" s="9"/>
      <c r="E776" s="9"/>
      <c r="F776" s="9"/>
      <c r="G776" s="9"/>
    </row>
    <row r="777" ht="21.0" customHeight="1">
      <c r="A777" s="9"/>
      <c r="B777" s="9"/>
      <c r="C777" s="9"/>
      <c r="D777" s="9"/>
      <c r="E777" s="9"/>
      <c r="F777" s="9"/>
      <c r="G777" s="9"/>
    </row>
    <row r="778" ht="21.0" customHeight="1">
      <c r="A778" s="9"/>
      <c r="B778" s="9"/>
      <c r="C778" s="9"/>
      <c r="D778" s="9"/>
      <c r="E778" s="9"/>
      <c r="F778" s="9"/>
      <c r="G778" s="9"/>
    </row>
    <row r="779" ht="21.0" customHeight="1">
      <c r="A779" s="9"/>
      <c r="B779" s="9"/>
      <c r="C779" s="9"/>
      <c r="D779" s="9"/>
      <c r="E779" s="9"/>
      <c r="F779" s="9"/>
      <c r="G779" s="9"/>
    </row>
    <row r="780" ht="21.0" customHeight="1">
      <c r="A780" s="9"/>
      <c r="B780" s="9"/>
      <c r="C780" s="9"/>
      <c r="D780" s="9"/>
      <c r="E780" s="9"/>
      <c r="F780" s="9"/>
      <c r="G780" s="9"/>
    </row>
    <row r="781" ht="21.0" customHeight="1">
      <c r="A781" s="9"/>
      <c r="B781" s="9"/>
      <c r="C781" s="9"/>
      <c r="D781" s="9"/>
      <c r="E781" s="9"/>
      <c r="F781" s="9"/>
      <c r="G781" s="9"/>
    </row>
    <row r="782" ht="21.0" customHeight="1">
      <c r="A782" s="9"/>
      <c r="B782" s="9"/>
      <c r="C782" s="9"/>
      <c r="D782" s="9"/>
      <c r="E782" s="9"/>
      <c r="F782" s="9"/>
      <c r="G782" s="9"/>
    </row>
    <row r="783" ht="21.0" customHeight="1">
      <c r="A783" s="9"/>
      <c r="B783" s="9"/>
      <c r="C783" s="9"/>
      <c r="D783" s="9"/>
      <c r="E783" s="9"/>
      <c r="F783" s="9"/>
      <c r="G783" s="9"/>
    </row>
    <row r="784" ht="21.0" customHeight="1">
      <c r="A784" s="9"/>
      <c r="B784" s="9"/>
      <c r="C784" s="9"/>
      <c r="D784" s="9"/>
      <c r="E784" s="9"/>
      <c r="F784" s="9"/>
      <c r="G784" s="9"/>
    </row>
    <row r="785" ht="21.0" customHeight="1">
      <c r="A785" s="9"/>
      <c r="B785" s="9"/>
      <c r="C785" s="9"/>
      <c r="D785" s="9"/>
      <c r="E785" s="9"/>
      <c r="F785" s="9"/>
      <c r="G785" s="9"/>
    </row>
    <row r="786" ht="21.0" customHeight="1">
      <c r="A786" s="9"/>
      <c r="B786" s="9"/>
      <c r="C786" s="9"/>
      <c r="D786" s="9"/>
      <c r="E786" s="9"/>
      <c r="F786" s="9"/>
      <c r="G786" s="9"/>
    </row>
    <row r="787" ht="21.0" customHeight="1">
      <c r="A787" s="9"/>
      <c r="B787" s="9"/>
      <c r="C787" s="9"/>
      <c r="D787" s="9"/>
      <c r="E787" s="9"/>
      <c r="F787" s="9"/>
      <c r="G787" s="9"/>
    </row>
    <row r="788" ht="21.0" customHeight="1">
      <c r="A788" s="9"/>
      <c r="B788" s="9"/>
      <c r="C788" s="9"/>
      <c r="D788" s="9"/>
      <c r="E788" s="9"/>
      <c r="F788" s="9"/>
      <c r="G788" s="9"/>
    </row>
    <row r="789" ht="21.0" customHeight="1">
      <c r="A789" s="9"/>
      <c r="B789" s="9"/>
      <c r="C789" s="9"/>
      <c r="D789" s="9"/>
      <c r="E789" s="9"/>
      <c r="F789" s="9"/>
      <c r="G789" s="9"/>
    </row>
    <row r="790" ht="21.0" customHeight="1">
      <c r="A790" s="9"/>
      <c r="B790" s="9"/>
      <c r="C790" s="9"/>
      <c r="D790" s="9"/>
      <c r="E790" s="9"/>
      <c r="F790" s="9"/>
      <c r="G790" s="9"/>
    </row>
    <row r="791" ht="21.0" customHeight="1">
      <c r="A791" s="9"/>
      <c r="B791" s="9"/>
      <c r="C791" s="9"/>
      <c r="D791" s="9"/>
      <c r="E791" s="9"/>
      <c r="F791" s="9"/>
      <c r="G791" s="9"/>
    </row>
    <row r="792" ht="21.0" customHeight="1">
      <c r="A792" s="9"/>
      <c r="B792" s="9"/>
      <c r="C792" s="9"/>
      <c r="D792" s="9"/>
      <c r="E792" s="9"/>
      <c r="F792" s="9"/>
      <c r="G792" s="9"/>
    </row>
    <row r="793" ht="21.0" customHeight="1">
      <c r="A793" s="9"/>
      <c r="B793" s="9"/>
      <c r="C793" s="9"/>
      <c r="D793" s="9"/>
      <c r="E793" s="9"/>
      <c r="F793" s="9"/>
      <c r="G793" s="9"/>
    </row>
    <row r="794" ht="21.0" customHeight="1">
      <c r="A794" s="9"/>
      <c r="B794" s="9"/>
      <c r="C794" s="9"/>
      <c r="D794" s="9"/>
      <c r="E794" s="9"/>
      <c r="F794" s="9"/>
      <c r="G794" s="9"/>
    </row>
    <row r="795" ht="21.0" customHeight="1">
      <c r="A795" s="9"/>
      <c r="B795" s="9"/>
      <c r="C795" s="9"/>
      <c r="D795" s="9"/>
      <c r="E795" s="9"/>
      <c r="F795" s="9"/>
      <c r="G795" s="9"/>
    </row>
    <row r="796" ht="21.0" customHeight="1">
      <c r="A796" s="9"/>
      <c r="B796" s="9"/>
      <c r="C796" s="9"/>
      <c r="D796" s="9"/>
      <c r="E796" s="9"/>
      <c r="F796" s="9"/>
      <c r="G796" s="9"/>
    </row>
    <row r="797" ht="21.0" customHeight="1">
      <c r="A797" s="9"/>
      <c r="B797" s="9"/>
      <c r="C797" s="9"/>
      <c r="D797" s="9"/>
      <c r="E797" s="9"/>
      <c r="F797" s="9"/>
      <c r="G797" s="9"/>
    </row>
    <row r="798" ht="21.0" customHeight="1">
      <c r="A798" s="9"/>
      <c r="B798" s="9"/>
      <c r="C798" s="9"/>
      <c r="D798" s="9"/>
      <c r="E798" s="9"/>
      <c r="F798" s="9"/>
      <c r="G798" s="9"/>
    </row>
    <row r="799" ht="21.0" customHeight="1">
      <c r="A799" s="9"/>
      <c r="B799" s="9"/>
      <c r="C799" s="9"/>
      <c r="D799" s="9"/>
      <c r="E799" s="9"/>
      <c r="F799" s="9"/>
      <c r="G799" s="9"/>
    </row>
    <row r="800" ht="21.0" customHeight="1">
      <c r="A800" s="9"/>
      <c r="B800" s="9"/>
      <c r="C800" s="9"/>
      <c r="D800" s="9"/>
      <c r="E800" s="9"/>
      <c r="F800" s="9"/>
      <c r="G800" s="9"/>
    </row>
    <row r="801" ht="21.0" customHeight="1">
      <c r="A801" s="9"/>
      <c r="B801" s="9"/>
      <c r="C801" s="9"/>
      <c r="D801" s="9"/>
      <c r="E801" s="9"/>
      <c r="F801" s="9"/>
      <c r="G801" s="9"/>
    </row>
    <row r="802" ht="21.0" customHeight="1">
      <c r="A802" s="9"/>
      <c r="B802" s="9"/>
      <c r="C802" s="9"/>
      <c r="D802" s="9"/>
      <c r="E802" s="9"/>
      <c r="F802" s="9"/>
      <c r="G802" s="9"/>
    </row>
    <row r="803" ht="21.0" customHeight="1">
      <c r="A803" s="9"/>
      <c r="B803" s="9"/>
      <c r="C803" s="9"/>
      <c r="D803" s="9"/>
      <c r="E803" s="9"/>
      <c r="F803" s="9"/>
      <c r="G803" s="9"/>
    </row>
    <row r="804" ht="21.0" customHeight="1">
      <c r="A804" s="9"/>
      <c r="B804" s="9"/>
      <c r="C804" s="9"/>
      <c r="D804" s="9"/>
      <c r="E804" s="9"/>
      <c r="F804" s="9"/>
      <c r="G804" s="9"/>
    </row>
    <row r="805" ht="21.0" customHeight="1">
      <c r="A805" s="9"/>
      <c r="B805" s="9"/>
      <c r="C805" s="9"/>
      <c r="D805" s="9"/>
      <c r="E805" s="9"/>
      <c r="F805" s="9"/>
      <c r="G805" s="9"/>
    </row>
    <row r="806" ht="21.0" customHeight="1">
      <c r="A806" s="9"/>
      <c r="B806" s="9"/>
      <c r="C806" s="9"/>
      <c r="D806" s="9"/>
      <c r="E806" s="9"/>
      <c r="F806" s="9"/>
      <c r="G806" s="9"/>
    </row>
    <row r="807" ht="21.0" customHeight="1">
      <c r="A807" s="9"/>
      <c r="B807" s="9"/>
      <c r="C807" s="9"/>
      <c r="D807" s="9"/>
      <c r="E807" s="9"/>
      <c r="F807" s="9"/>
      <c r="G807" s="9"/>
    </row>
    <row r="808" ht="21.0" customHeight="1">
      <c r="A808" s="9"/>
      <c r="B808" s="9"/>
      <c r="C808" s="9"/>
      <c r="D808" s="9"/>
      <c r="E808" s="9"/>
      <c r="F808" s="9"/>
      <c r="G808" s="9"/>
    </row>
    <row r="809" ht="21.0" customHeight="1">
      <c r="A809" s="9"/>
      <c r="B809" s="9"/>
      <c r="C809" s="9"/>
      <c r="D809" s="9"/>
      <c r="E809" s="9"/>
      <c r="F809" s="9"/>
      <c r="G809" s="9"/>
    </row>
    <row r="810" ht="21.0" customHeight="1">
      <c r="A810" s="9"/>
      <c r="B810" s="9"/>
      <c r="C810" s="9"/>
      <c r="D810" s="9"/>
      <c r="E810" s="9"/>
      <c r="F810" s="9"/>
      <c r="G810" s="9"/>
    </row>
    <row r="811" ht="21.0" customHeight="1">
      <c r="A811" s="9"/>
      <c r="B811" s="9"/>
      <c r="C811" s="9"/>
      <c r="D811" s="9"/>
      <c r="E811" s="9"/>
      <c r="F811" s="9"/>
      <c r="G811" s="9"/>
    </row>
    <row r="812" ht="21.0" customHeight="1">
      <c r="A812" s="9"/>
      <c r="B812" s="9"/>
      <c r="C812" s="9"/>
      <c r="D812" s="9"/>
      <c r="E812" s="9"/>
      <c r="F812" s="9"/>
      <c r="G812" s="9"/>
    </row>
    <row r="813" ht="21.0" customHeight="1">
      <c r="A813" s="9"/>
      <c r="B813" s="9"/>
      <c r="C813" s="9"/>
      <c r="D813" s="9"/>
      <c r="E813" s="9"/>
      <c r="F813" s="9"/>
      <c r="G813" s="9"/>
    </row>
    <row r="814" ht="21.0" customHeight="1">
      <c r="A814" s="9"/>
      <c r="B814" s="9"/>
      <c r="C814" s="9"/>
      <c r="D814" s="9"/>
      <c r="E814" s="9"/>
      <c r="F814" s="9"/>
      <c r="G814" s="9"/>
    </row>
    <row r="815" ht="21.0" customHeight="1">
      <c r="A815" s="9"/>
      <c r="B815" s="9"/>
      <c r="C815" s="9"/>
      <c r="D815" s="9"/>
      <c r="E815" s="9"/>
      <c r="F815" s="9"/>
      <c r="G815" s="9"/>
    </row>
    <row r="816" ht="21.0" customHeight="1">
      <c r="A816" s="9"/>
      <c r="B816" s="9"/>
      <c r="C816" s="9"/>
      <c r="D816" s="9"/>
      <c r="E816" s="9"/>
      <c r="F816" s="9"/>
      <c r="G816" s="9"/>
    </row>
    <row r="817" ht="21.0" customHeight="1">
      <c r="A817" s="9"/>
      <c r="B817" s="9"/>
      <c r="C817" s="9"/>
      <c r="D817" s="9"/>
      <c r="E817" s="9"/>
      <c r="F817" s="9"/>
      <c r="G817" s="9"/>
    </row>
    <row r="818" ht="21.0" customHeight="1">
      <c r="A818" s="9"/>
      <c r="B818" s="9"/>
      <c r="C818" s="9"/>
      <c r="D818" s="9"/>
      <c r="E818" s="9"/>
      <c r="F818" s="9"/>
      <c r="G818" s="9"/>
    </row>
    <row r="819" ht="21.0" customHeight="1">
      <c r="A819" s="9"/>
      <c r="B819" s="9"/>
      <c r="C819" s="9"/>
      <c r="D819" s="9"/>
      <c r="E819" s="9"/>
      <c r="F819" s="9"/>
      <c r="G819" s="9"/>
    </row>
    <row r="820" ht="21.0" customHeight="1">
      <c r="A820" s="9"/>
      <c r="B820" s="9"/>
      <c r="C820" s="9"/>
      <c r="D820" s="9"/>
      <c r="E820" s="9"/>
      <c r="F820" s="9"/>
      <c r="G820" s="9"/>
    </row>
    <row r="821" ht="21.0" customHeight="1">
      <c r="A821" s="9"/>
      <c r="B821" s="9"/>
      <c r="C821" s="9"/>
      <c r="D821" s="9"/>
      <c r="E821" s="9"/>
      <c r="F821" s="9"/>
      <c r="G821" s="9"/>
    </row>
    <row r="822" ht="21.0" customHeight="1">
      <c r="A822" s="9"/>
      <c r="B822" s="9"/>
      <c r="C822" s="9"/>
      <c r="D822" s="9"/>
      <c r="E822" s="9"/>
      <c r="F822" s="9"/>
      <c r="G822" s="9"/>
    </row>
    <row r="823" ht="21.0" customHeight="1">
      <c r="A823" s="9"/>
      <c r="B823" s="9"/>
      <c r="C823" s="9"/>
      <c r="D823" s="9"/>
      <c r="E823" s="9"/>
      <c r="F823" s="9"/>
      <c r="G823" s="9"/>
    </row>
    <row r="824" ht="21.0" customHeight="1">
      <c r="A824" s="9"/>
      <c r="B824" s="9"/>
      <c r="C824" s="9"/>
      <c r="D824" s="9"/>
      <c r="E824" s="9"/>
      <c r="F824" s="9"/>
      <c r="G824" s="9"/>
    </row>
    <row r="825" ht="21.0" customHeight="1">
      <c r="A825" s="9"/>
      <c r="B825" s="9"/>
      <c r="C825" s="9"/>
      <c r="D825" s="9"/>
      <c r="E825" s="9"/>
      <c r="F825" s="9"/>
      <c r="G825" s="9"/>
    </row>
    <row r="826" ht="21.0" customHeight="1">
      <c r="A826" s="9"/>
      <c r="B826" s="9"/>
      <c r="C826" s="9"/>
      <c r="D826" s="9"/>
      <c r="E826" s="9"/>
      <c r="F826" s="9"/>
      <c r="G826" s="9"/>
    </row>
    <row r="827" ht="21.0" customHeight="1">
      <c r="A827" s="9"/>
      <c r="B827" s="9"/>
      <c r="C827" s="9"/>
      <c r="D827" s="9"/>
      <c r="E827" s="9"/>
      <c r="F827" s="9"/>
      <c r="G827" s="9"/>
    </row>
    <row r="828" ht="21.0" customHeight="1">
      <c r="A828" s="9"/>
      <c r="B828" s="9"/>
      <c r="C828" s="9"/>
      <c r="D828" s="9"/>
      <c r="E828" s="9"/>
      <c r="F828" s="9"/>
      <c r="G828" s="9"/>
    </row>
    <row r="829" ht="21.0" customHeight="1">
      <c r="A829" s="9"/>
      <c r="B829" s="9"/>
      <c r="C829" s="9"/>
      <c r="D829" s="9"/>
      <c r="E829" s="9"/>
      <c r="F829" s="9"/>
      <c r="G829" s="9"/>
    </row>
    <row r="830" ht="21.0" customHeight="1">
      <c r="A830" s="9"/>
      <c r="B830" s="9"/>
      <c r="C830" s="9"/>
      <c r="D830" s="9"/>
      <c r="E830" s="9"/>
      <c r="F830" s="9"/>
      <c r="G830" s="9"/>
    </row>
    <row r="831" ht="21.0" customHeight="1">
      <c r="A831" s="9"/>
      <c r="B831" s="9"/>
      <c r="C831" s="9"/>
      <c r="D831" s="9"/>
      <c r="E831" s="9"/>
      <c r="F831" s="9"/>
      <c r="G831" s="9"/>
    </row>
    <row r="832" ht="21.0" customHeight="1">
      <c r="A832" s="9"/>
      <c r="B832" s="9"/>
      <c r="C832" s="9"/>
      <c r="D832" s="9"/>
      <c r="E832" s="9"/>
      <c r="F832" s="9"/>
      <c r="G832" s="9"/>
    </row>
    <row r="833" ht="21.0" customHeight="1">
      <c r="A833" s="9"/>
      <c r="B833" s="9"/>
      <c r="C833" s="9"/>
      <c r="D833" s="9"/>
      <c r="E833" s="9"/>
      <c r="F833" s="9"/>
      <c r="G833" s="9"/>
    </row>
    <row r="834" ht="21.0" customHeight="1">
      <c r="A834" s="9"/>
      <c r="B834" s="9"/>
      <c r="C834" s="9"/>
      <c r="D834" s="9"/>
      <c r="E834" s="9"/>
      <c r="F834" s="9"/>
      <c r="G834" s="9"/>
    </row>
    <row r="835" ht="21.0" customHeight="1">
      <c r="A835" s="9"/>
      <c r="B835" s="9"/>
      <c r="C835" s="9"/>
      <c r="D835" s="9"/>
      <c r="E835" s="9"/>
      <c r="F835" s="9"/>
      <c r="G835" s="9"/>
    </row>
    <row r="836" ht="21.0" customHeight="1">
      <c r="A836" s="9"/>
      <c r="B836" s="9"/>
      <c r="C836" s="9"/>
      <c r="D836" s="9"/>
      <c r="E836" s="9"/>
      <c r="F836" s="9"/>
      <c r="G836" s="9"/>
    </row>
    <row r="837" ht="21.0" customHeight="1">
      <c r="A837" s="9"/>
      <c r="B837" s="9"/>
      <c r="C837" s="9"/>
      <c r="D837" s="9"/>
      <c r="E837" s="9"/>
      <c r="F837" s="9"/>
      <c r="G837" s="9"/>
    </row>
    <row r="838" ht="21.0" customHeight="1">
      <c r="A838" s="9"/>
      <c r="B838" s="9"/>
      <c r="C838" s="9"/>
      <c r="D838" s="9"/>
      <c r="E838" s="9"/>
      <c r="F838" s="9"/>
      <c r="G838" s="9"/>
    </row>
    <row r="839" ht="21.0" customHeight="1">
      <c r="A839" s="9"/>
      <c r="B839" s="9"/>
      <c r="C839" s="9"/>
      <c r="D839" s="9"/>
      <c r="E839" s="9"/>
      <c r="F839" s="9"/>
      <c r="G839" s="9"/>
    </row>
    <row r="840" ht="21.0" customHeight="1">
      <c r="A840" s="9"/>
      <c r="B840" s="9"/>
      <c r="C840" s="9"/>
      <c r="D840" s="9"/>
      <c r="E840" s="9"/>
      <c r="F840" s="9"/>
      <c r="G840" s="9"/>
    </row>
    <row r="841" ht="21.0" customHeight="1">
      <c r="A841" s="9"/>
      <c r="B841" s="9"/>
      <c r="C841" s="9"/>
      <c r="D841" s="9"/>
      <c r="E841" s="9"/>
      <c r="F841" s="9"/>
      <c r="G841" s="9"/>
    </row>
    <row r="842" ht="21.0" customHeight="1">
      <c r="A842" s="9"/>
      <c r="B842" s="9"/>
      <c r="C842" s="9"/>
      <c r="D842" s="9"/>
      <c r="E842" s="9"/>
      <c r="F842" s="9"/>
      <c r="G842" s="9"/>
    </row>
    <row r="843" ht="21.0" customHeight="1">
      <c r="A843" s="9"/>
      <c r="B843" s="9"/>
      <c r="C843" s="9"/>
      <c r="D843" s="9"/>
      <c r="E843" s="9"/>
      <c r="F843" s="9"/>
      <c r="G843" s="9"/>
    </row>
    <row r="844" ht="21.0" customHeight="1">
      <c r="A844" s="9"/>
      <c r="B844" s="9"/>
      <c r="C844" s="9"/>
      <c r="D844" s="9"/>
      <c r="E844" s="9"/>
      <c r="F844" s="9"/>
      <c r="G844" s="9"/>
    </row>
    <row r="845" ht="21.0" customHeight="1">
      <c r="A845" s="9"/>
      <c r="B845" s="9"/>
      <c r="C845" s="9"/>
      <c r="D845" s="9"/>
      <c r="E845" s="9"/>
      <c r="F845" s="9"/>
      <c r="G845" s="9"/>
    </row>
    <row r="846" ht="21.0" customHeight="1">
      <c r="A846" s="9"/>
      <c r="B846" s="9"/>
      <c r="C846" s="9"/>
      <c r="D846" s="9"/>
      <c r="E846" s="9"/>
      <c r="F846" s="9"/>
      <c r="G846" s="9"/>
    </row>
    <row r="847" ht="21.0" customHeight="1">
      <c r="A847" s="9"/>
      <c r="B847" s="9"/>
      <c r="C847" s="9"/>
      <c r="D847" s="9"/>
      <c r="E847" s="9"/>
      <c r="F847" s="9"/>
      <c r="G847" s="9"/>
    </row>
    <row r="848" ht="21.0" customHeight="1">
      <c r="A848" s="9"/>
      <c r="B848" s="9"/>
      <c r="C848" s="9"/>
      <c r="D848" s="9"/>
      <c r="E848" s="9"/>
      <c r="F848" s="9"/>
      <c r="G848" s="9"/>
    </row>
    <row r="849" ht="21.0" customHeight="1">
      <c r="A849" s="9"/>
      <c r="B849" s="9"/>
      <c r="C849" s="9"/>
      <c r="D849" s="9"/>
      <c r="E849" s="9"/>
      <c r="F849" s="9"/>
      <c r="G849" s="9"/>
    </row>
    <row r="850" ht="21.0" customHeight="1">
      <c r="A850" s="9"/>
      <c r="B850" s="9"/>
      <c r="C850" s="9"/>
      <c r="D850" s="9"/>
      <c r="E850" s="9"/>
      <c r="F850" s="9"/>
      <c r="G850" s="9"/>
    </row>
    <row r="851" ht="21.0" customHeight="1">
      <c r="A851" s="9"/>
      <c r="B851" s="9"/>
      <c r="C851" s="9"/>
      <c r="D851" s="9"/>
      <c r="E851" s="9"/>
      <c r="F851" s="9"/>
      <c r="G851" s="9"/>
    </row>
    <row r="852" ht="21.0" customHeight="1">
      <c r="A852" s="9"/>
      <c r="B852" s="9"/>
      <c r="C852" s="9"/>
      <c r="D852" s="9"/>
      <c r="E852" s="9"/>
      <c r="F852" s="9"/>
      <c r="G852" s="9"/>
    </row>
    <row r="853" ht="21.0" customHeight="1">
      <c r="A853" s="9"/>
      <c r="B853" s="9"/>
      <c r="C853" s="9"/>
      <c r="D853" s="9"/>
      <c r="E853" s="9"/>
      <c r="F853" s="9"/>
      <c r="G853" s="9"/>
    </row>
    <row r="854" ht="21.0" customHeight="1">
      <c r="A854" s="9"/>
      <c r="B854" s="9"/>
      <c r="C854" s="9"/>
      <c r="D854" s="9"/>
      <c r="E854" s="9"/>
      <c r="F854" s="9"/>
      <c r="G854" s="9"/>
    </row>
    <row r="855" ht="21.0" customHeight="1">
      <c r="A855" s="9"/>
      <c r="B855" s="9"/>
      <c r="C855" s="9"/>
      <c r="D855" s="9"/>
      <c r="E855" s="9"/>
      <c r="F855" s="9"/>
      <c r="G855" s="9"/>
    </row>
    <row r="856" ht="21.0" customHeight="1">
      <c r="A856" s="9"/>
      <c r="B856" s="9"/>
      <c r="C856" s="9"/>
      <c r="D856" s="9"/>
      <c r="E856" s="9"/>
      <c r="F856" s="9"/>
      <c r="G856" s="9"/>
    </row>
    <row r="857" ht="21.0" customHeight="1">
      <c r="A857" s="9"/>
      <c r="B857" s="9"/>
      <c r="C857" s="9"/>
      <c r="D857" s="9"/>
      <c r="E857" s="9"/>
      <c r="F857" s="9"/>
      <c r="G857" s="9"/>
    </row>
    <row r="858" ht="21.0" customHeight="1">
      <c r="A858" s="9"/>
      <c r="B858" s="9"/>
      <c r="C858" s="9"/>
      <c r="D858" s="9"/>
      <c r="E858" s="9"/>
      <c r="F858" s="9"/>
      <c r="G858" s="9"/>
    </row>
    <row r="859" ht="21.0" customHeight="1">
      <c r="A859" s="9"/>
      <c r="B859" s="9"/>
      <c r="C859" s="9"/>
      <c r="D859" s="9"/>
      <c r="E859" s="9"/>
      <c r="F859" s="9"/>
      <c r="G859" s="9"/>
    </row>
    <row r="860" ht="21.0" customHeight="1">
      <c r="A860" s="9"/>
      <c r="B860" s="9"/>
      <c r="C860" s="9"/>
      <c r="D860" s="9"/>
      <c r="E860" s="9"/>
      <c r="F860" s="9"/>
      <c r="G860" s="9"/>
    </row>
    <row r="861" ht="21.0" customHeight="1">
      <c r="A861" s="9"/>
      <c r="B861" s="9"/>
      <c r="C861" s="9"/>
      <c r="D861" s="9"/>
      <c r="E861" s="9"/>
      <c r="F861" s="9"/>
      <c r="G861" s="9"/>
    </row>
    <row r="862" ht="21.0" customHeight="1">
      <c r="A862" s="9"/>
      <c r="B862" s="9"/>
      <c r="C862" s="9"/>
      <c r="D862" s="9"/>
      <c r="E862" s="9"/>
      <c r="F862" s="9"/>
      <c r="G862" s="9"/>
    </row>
    <row r="863" ht="21.0" customHeight="1">
      <c r="A863" s="9"/>
      <c r="B863" s="9"/>
      <c r="C863" s="9"/>
      <c r="D863" s="9"/>
      <c r="E863" s="9"/>
      <c r="F863" s="9"/>
      <c r="G863" s="9"/>
    </row>
    <row r="864" ht="21.0" customHeight="1">
      <c r="A864" s="9"/>
      <c r="B864" s="9"/>
      <c r="C864" s="9"/>
      <c r="D864" s="9"/>
      <c r="E864" s="9"/>
      <c r="F864" s="9"/>
      <c r="G864" s="9"/>
    </row>
    <row r="865" ht="21.0" customHeight="1">
      <c r="A865" s="9"/>
      <c r="B865" s="9"/>
      <c r="C865" s="9"/>
      <c r="D865" s="9"/>
      <c r="E865" s="9"/>
      <c r="F865" s="9"/>
      <c r="G865" s="9"/>
    </row>
    <row r="866" ht="21.0" customHeight="1">
      <c r="A866" s="9"/>
      <c r="B866" s="9"/>
      <c r="C866" s="9"/>
      <c r="D866" s="9"/>
      <c r="E866" s="9"/>
      <c r="F866" s="9"/>
      <c r="G866" s="9"/>
    </row>
    <row r="867" ht="21.0" customHeight="1">
      <c r="A867" s="9"/>
      <c r="B867" s="9"/>
      <c r="C867" s="9"/>
      <c r="D867" s="9"/>
      <c r="E867" s="9"/>
      <c r="F867" s="9"/>
      <c r="G867" s="9"/>
    </row>
    <row r="868" ht="21.0" customHeight="1">
      <c r="A868" s="9"/>
      <c r="B868" s="9"/>
      <c r="C868" s="9"/>
      <c r="D868" s="9"/>
      <c r="E868" s="9"/>
      <c r="F868" s="9"/>
      <c r="G868" s="9"/>
    </row>
    <row r="869" ht="21.0" customHeight="1">
      <c r="A869" s="9"/>
      <c r="B869" s="9"/>
      <c r="C869" s="9"/>
      <c r="D869" s="9"/>
      <c r="E869" s="9"/>
      <c r="F869" s="9"/>
      <c r="G869" s="9"/>
    </row>
    <row r="870" ht="21.0" customHeight="1">
      <c r="A870" s="9"/>
      <c r="B870" s="9"/>
      <c r="C870" s="9"/>
      <c r="D870" s="9"/>
      <c r="E870" s="9"/>
      <c r="F870" s="9"/>
      <c r="G870" s="9"/>
    </row>
    <row r="871" ht="21.0" customHeight="1">
      <c r="A871" s="9"/>
      <c r="B871" s="9"/>
      <c r="C871" s="9"/>
      <c r="D871" s="9"/>
      <c r="E871" s="9"/>
      <c r="F871" s="9"/>
      <c r="G871" s="9"/>
    </row>
    <row r="872" ht="21.0" customHeight="1">
      <c r="A872" s="9"/>
      <c r="B872" s="9"/>
      <c r="C872" s="9"/>
      <c r="D872" s="9"/>
      <c r="E872" s="9"/>
      <c r="F872" s="9"/>
      <c r="G872" s="9"/>
    </row>
    <row r="873" ht="21.0" customHeight="1">
      <c r="A873" s="9"/>
      <c r="B873" s="9"/>
      <c r="C873" s="9"/>
      <c r="D873" s="9"/>
      <c r="E873" s="9"/>
      <c r="F873" s="9"/>
      <c r="G873" s="9"/>
    </row>
    <row r="874" ht="21.0" customHeight="1">
      <c r="A874" s="9"/>
      <c r="B874" s="9"/>
      <c r="C874" s="9"/>
      <c r="D874" s="9"/>
      <c r="E874" s="9"/>
      <c r="F874" s="9"/>
      <c r="G874" s="9"/>
    </row>
    <row r="875" ht="21.0" customHeight="1">
      <c r="A875" s="9"/>
      <c r="B875" s="9"/>
      <c r="C875" s="9"/>
      <c r="D875" s="9"/>
      <c r="E875" s="9"/>
      <c r="F875" s="9"/>
      <c r="G875" s="9"/>
    </row>
    <row r="876" ht="21.0" customHeight="1">
      <c r="A876" s="9"/>
      <c r="B876" s="9"/>
      <c r="C876" s="9"/>
      <c r="D876" s="9"/>
      <c r="E876" s="9"/>
      <c r="F876" s="9"/>
      <c r="G876" s="9"/>
    </row>
    <row r="877" ht="21.0" customHeight="1">
      <c r="A877" s="9"/>
      <c r="B877" s="9"/>
      <c r="C877" s="9"/>
      <c r="D877" s="9"/>
      <c r="E877" s="9"/>
      <c r="F877" s="9"/>
      <c r="G877" s="9"/>
    </row>
    <row r="878" ht="21.0" customHeight="1">
      <c r="A878" s="9"/>
      <c r="B878" s="9"/>
      <c r="C878" s="9"/>
      <c r="D878" s="9"/>
      <c r="E878" s="9"/>
      <c r="F878" s="9"/>
      <c r="G878" s="9"/>
    </row>
    <row r="879" ht="21.0" customHeight="1">
      <c r="A879" s="9"/>
      <c r="B879" s="9"/>
      <c r="C879" s="9"/>
      <c r="D879" s="9"/>
      <c r="E879" s="9"/>
      <c r="F879" s="9"/>
      <c r="G879" s="9"/>
    </row>
    <row r="880" ht="21.0" customHeight="1">
      <c r="A880" s="9"/>
      <c r="B880" s="9"/>
      <c r="C880" s="9"/>
      <c r="D880" s="9"/>
      <c r="E880" s="9"/>
      <c r="F880" s="9"/>
      <c r="G880" s="9"/>
    </row>
    <row r="881" ht="21.0" customHeight="1">
      <c r="A881" s="9"/>
      <c r="B881" s="9"/>
      <c r="C881" s="9"/>
      <c r="D881" s="9"/>
      <c r="E881" s="9"/>
      <c r="F881" s="9"/>
      <c r="G881" s="9"/>
    </row>
    <row r="882" ht="21.0" customHeight="1">
      <c r="A882" s="9"/>
      <c r="B882" s="9"/>
      <c r="C882" s="9"/>
      <c r="D882" s="9"/>
      <c r="E882" s="9"/>
      <c r="F882" s="9"/>
      <c r="G882" s="9"/>
    </row>
    <row r="883" ht="21.0" customHeight="1">
      <c r="A883" s="9"/>
      <c r="B883" s="9"/>
      <c r="C883" s="9"/>
      <c r="D883" s="9"/>
      <c r="E883" s="9"/>
      <c r="F883" s="9"/>
      <c r="G883" s="9"/>
    </row>
    <row r="884" ht="21.0" customHeight="1">
      <c r="A884" s="9"/>
      <c r="B884" s="9"/>
      <c r="C884" s="9"/>
      <c r="D884" s="9"/>
      <c r="E884" s="9"/>
      <c r="F884" s="9"/>
      <c r="G884" s="9"/>
    </row>
    <row r="885" ht="21.0" customHeight="1">
      <c r="A885" s="9"/>
      <c r="B885" s="9"/>
      <c r="C885" s="9"/>
      <c r="D885" s="9"/>
      <c r="E885" s="9"/>
      <c r="F885" s="9"/>
      <c r="G885" s="9"/>
    </row>
    <row r="886" ht="21.0" customHeight="1">
      <c r="A886" s="9"/>
      <c r="B886" s="9"/>
      <c r="C886" s="9"/>
      <c r="D886" s="9"/>
      <c r="E886" s="9"/>
      <c r="F886" s="9"/>
      <c r="G886" s="9"/>
    </row>
    <row r="887" ht="21.0" customHeight="1">
      <c r="A887" s="9"/>
      <c r="B887" s="9"/>
      <c r="C887" s="9"/>
      <c r="D887" s="9"/>
      <c r="E887" s="9"/>
      <c r="F887" s="9"/>
      <c r="G887" s="9"/>
    </row>
    <row r="888" ht="21.0" customHeight="1">
      <c r="A888" s="9"/>
      <c r="B888" s="9"/>
      <c r="C888" s="9"/>
      <c r="D888" s="9"/>
      <c r="E888" s="9"/>
      <c r="F888" s="9"/>
      <c r="G888" s="9"/>
    </row>
    <row r="889" ht="21.0" customHeight="1">
      <c r="A889" s="9"/>
      <c r="B889" s="9"/>
      <c r="C889" s="9"/>
      <c r="D889" s="9"/>
      <c r="E889" s="9"/>
      <c r="F889" s="9"/>
      <c r="G889" s="9"/>
    </row>
    <row r="890" ht="21.0" customHeight="1">
      <c r="A890" s="9"/>
      <c r="B890" s="9"/>
      <c r="C890" s="9"/>
      <c r="D890" s="9"/>
      <c r="E890" s="9"/>
      <c r="F890" s="9"/>
      <c r="G890" s="9"/>
    </row>
    <row r="891" ht="21.0" customHeight="1">
      <c r="A891" s="9"/>
      <c r="B891" s="9"/>
      <c r="C891" s="9"/>
      <c r="D891" s="9"/>
      <c r="E891" s="9"/>
      <c r="F891" s="9"/>
      <c r="G891" s="9"/>
    </row>
    <row r="892" ht="21.0" customHeight="1">
      <c r="A892" s="9"/>
      <c r="B892" s="9"/>
      <c r="C892" s="9"/>
      <c r="D892" s="9"/>
      <c r="E892" s="9"/>
      <c r="F892" s="9"/>
      <c r="G892" s="9"/>
    </row>
    <row r="893" ht="21.0" customHeight="1">
      <c r="A893" s="9"/>
      <c r="B893" s="9"/>
      <c r="C893" s="9"/>
      <c r="D893" s="9"/>
      <c r="E893" s="9"/>
      <c r="F893" s="9"/>
      <c r="G893" s="9"/>
    </row>
    <row r="894" ht="21.0" customHeight="1">
      <c r="A894" s="9"/>
      <c r="B894" s="9"/>
      <c r="C894" s="9"/>
      <c r="D894" s="9"/>
      <c r="E894" s="9"/>
      <c r="F894" s="9"/>
      <c r="G894" s="9"/>
    </row>
    <row r="895" ht="21.0" customHeight="1">
      <c r="A895" s="9"/>
      <c r="B895" s="9"/>
      <c r="C895" s="9"/>
      <c r="D895" s="9"/>
      <c r="E895" s="9"/>
      <c r="F895" s="9"/>
      <c r="G895" s="9"/>
    </row>
    <row r="896" ht="21.0" customHeight="1">
      <c r="A896" s="9"/>
      <c r="B896" s="9"/>
      <c r="C896" s="9"/>
      <c r="D896" s="9"/>
      <c r="E896" s="9"/>
      <c r="F896" s="9"/>
      <c r="G896" s="9"/>
    </row>
    <row r="897" ht="21.0" customHeight="1">
      <c r="A897" s="9"/>
      <c r="B897" s="9"/>
      <c r="C897" s="9"/>
      <c r="D897" s="9"/>
      <c r="E897" s="9"/>
      <c r="F897" s="9"/>
      <c r="G897" s="9"/>
    </row>
    <row r="898" ht="21.0" customHeight="1">
      <c r="A898" s="9"/>
      <c r="B898" s="9"/>
      <c r="C898" s="9"/>
      <c r="D898" s="9"/>
      <c r="E898" s="9"/>
      <c r="F898" s="9"/>
      <c r="G898" s="9"/>
    </row>
    <row r="899" ht="21.0" customHeight="1">
      <c r="A899" s="9"/>
      <c r="B899" s="9"/>
      <c r="C899" s="9"/>
      <c r="D899" s="9"/>
      <c r="E899" s="9"/>
      <c r="F899" s="9"/>
      <c r="G899" s="9"/>
    </row>
    <row r="900" ht="21.0" customHeight="1">
      <c r="A900" s="9"/>
      <c r="B900" s="9"/>
      <c r="C900" s="9"/>
      <c r="D900" s="9"/>
      <c r="E900" s="9"/>
      <c r="F900" s="9"/>
      <c r="G900" s="9"/>
    </row>
    <row r="901" ht="21.0" customHeight="1">
      <c r="A901" s="9"/>
      <c r="B901" s="9"/>
      <c r="C901" s="9"/>
      <c r="D901" s="9"/>
      <c r="E901" s="9"/>
      <c r="F901" s="9"/>
      <c r="G901" s="9"/>
    </row>
    <row r="902" ht="21.0" customHeight="1">
      <c r="A902" s="9"/>
      <c r="B902" s="9"/>
      <c r="C902" s="9"/>
      <c r="D902" s="9"/>
      <c r="E902" s="9"/>
      <c r="F902" s="9"/>
      <c r="G902" s="9"/>
    </row>
    <row r="903" ht="21.0" customHeight="1">
      <c r="A903" s="9"/>
      <c r="B903" s="9"/>
      <c r="C903" s="9"/>
      <c r="D903" s="9"/>
      <c r="E903" s="9"/>
      <c r="F903" s="9"/>
      <c r="G903" s="9"/>
    </row>
    <row r="904" ht="21.0" customHeight="1">
      <c r="A904" s="9"/>
      <c r="B904" s="9"/>
      <c r="C904" s="9"/>
      <c r="D904" s="9"/>
      <c r="E904" s="9"/>
      <c r="F904" s="9"/>
      <c r="G904" s="9"/>
    </row>
    <row r="905" ht="21.0" customHeight="1">
      <c r="A905" s="9"/>
      <c r="B905" s="9"/>
      <c r="C905" s="9"/>
      <c r="D905" s="9"/>
      <c r="E905" s="9"/>
      <c r="F905" s="9"/>
      <c r="G905" s="9"/>
    </row>
    <row r="906" ht="21.0" customHeight="1">
      <c r="A906" s="9"/>
      <c r="B906" s="9"/>
      <c r="C906" s="9"/>
      <c r="D906" s="9"/>
      <c r="E906" s="9"/>
      <c r="F906" s="9"/>
      <c r="G906" s="9"/>
    </row>
    <row r="907" ht="21.0" customHeight="1">
      <c r="A907" s="9"/>
      <c r="B907" s="9"/>
      <c r="C907" s="9"/>
      <c r="D907" s="9"/>
      <c r="E907" s="9"/>
      <c r="F907" s="9"/>
      <c r="G907" s="9"/>
    </row>
    <row r="908" ht="21.0" customHeight="1">
      <c r="A908" s="9"/>
      <c r="B908" s="9"/>
      <c r="C908" s="9"/>
      <c r="D908" s="9"/>
      <c r="E908" s="9"/>
      <c r="F908" s="9"/>
      <c r="G908" s="9"/>
    </row>
    <row r="909" ht="21.0" customHeight="1">
      <c r="A909" s="9"/>
      <c r="B909" s="9"/>
      <c r="C909" s="9"/>
      <c r="D909" s="9"/>
      <c r="E909" s="9"/>
      <c r="F909" s="9"/>
      <c r="G909" s="9"/>
    </row>
    <row r="910" ht="21.0" customHeight="1">
      <c r="A910" s="9"/>
      <c r="B910" s="9"/>
      <c r="C910" s="9"/>
      <c r="D910" s="9"/>
      <c r="E910" s="9"/>
      <c r="F910" s="9"/>
      <c r="G910" s="9"/>
    </row>
    <row r="911" ht="21.0" customHeight="1">
      <c r="A911" s="9"/>
      <c r="B911" s="9"/>
      <c r="C911" s="9"/>
      <c r="D911" s="9"/>
      <c r="E911" s="9"/>
      <c r="F911" s="9"/>
      <c r="G911" s="9"/>
    </row>
    <row r="912" ht="21.0" customHeight="1">
      <c r="A912" s="9"/>
      <c r="B912" s="9"/>
      <c r="C912" s="9"/>
      <c r="D912" s="9"/>
      <c r="E912" s="9"/>
      <c r="F912" s="9"/>
      <c r="G912" s="9"/>
    </row>
    <row r="913" ht="21.0" customHeight="1">
      <c r="A913" s="9"/>
      <c r="B913" s="9"/>
      <c r="C913" s="9"/>
      <c r="D913" s="9"/>
      <c r="E913" s="9"/>
      <c r="F913" s="9"/>
      <c r="G913" s="9"/>
    </row>
    <row r="914" ht="21.0" customHeight="1">
      <c r="A914" s="9"/>
      <c r="B914" s="9"/>
      <c r="C914" s="9"/>
      <c r="D914" s="9"/>
      <c r="E914" s="9"/>
      <c r="F914" s="9"/>
      <c r="G914" s="9"/>
    </row>
    <row r="915" ht="21.0" customHeight="1">
      <c r="A915" s="9"/>
      <c r="B915" s="9"/>
      <c r="C915" s="9"/>
      <c r="D915" s="9"/>
      <c r="E915" s="9"/>
      <c r="F915" s="9"/>
      <c r="G915" s="9"/>
    </row>
    <row r="916" ht="21.0" customHeight="1">
      <c r="A916" s="9"/>
      <c r="B916" s="9"/>
      <c r="C916" s="9"/>
      <c r="D916" s="9"/>
      <c r="E916" s="9"/>
      <c r="F916" s="9"/>
      <c r="G916" s="9"/>
    </row>
    <row r="917" ht="21.0" customHeight="1">
      <c r="A917" s="9"/>
      <c r="B917" s="9"/>
      <c r="C917" s="9"/>
      <c r="D917" s="9"/>
      <c r="E917" s="9"/>
      <c r="F917" s="9"/>
      <c r="G917" s="9"/>
    </row>
    <row r="918" ht="21.0" customHeight="1">
      <c r="A918" s="9"/>
      <c r="B918" s="9"/>
      <c r="C918" s="9"/>
      <c r="D918" s="9"/>
      <c r="E918" s="9"/>
      <c r="F918" s="9"/>
      <c r="G918" s="9"/>
    </row>
    <row r="919" ht="21.0" customHeight="1">
      <c r="A919" s="9"/>
      <c r="B919" s="9"/>
      <c r="C919" s="9"/>
      <c r="D919" s="9"/>
      <c r="E919" s="9"/>
      <c r="F919" s="9"/>
      <c r="G919" s="9"/>
    </row>
    <row r="920" ht="21.0" customHeight="1">
      <c r="A920" s="9"/>
      <c r="B920" s="9"/>
      <c r="C920" s="9"/>
      <c r="D920" s="9"/>
      <c r="E920" s="9"/>
      <c r="F920" s="9"/>
      <c r="G920" s="9"/>
    </row>
    <row r="921" ht="21.0" customHeight="1">
      <c r="A921" s="9"/>
      <c r="B921" s="9"/>
      <c r="C921" s="9"/>
      <c r="D921" s="9"/>
      <c r="E921" s="9"/>
      <c r="F921" s="9"/>
      <c r="G921" s="9"/>
    </row>
    <row r="922" ht="21.0" customHeight="1">
      <c r="A922" s="9"/>
      <c r="B922" s="9"/>
      <c r="C922" s="9"/>
      <c r="D922" s="9"/>
      <c r="E922" s="9"/>
      <c r="F922" s="9"/>
      <c r="G922" s="9"/>
    </row>
    <row r="923" ht="21.0" customHeight="1">
      <c r="A923" s="9"/>
      <c r="B923" s="9"/>
      <c r="C923" s="9"/>
      <c r="D923" s="9"/>
      <c r="E923" s="9"/>
      <c r="F923" s="9"/>
      <c r="G923" s="9"/>
    </row>
    <row r="924" ht="21.0" customHeight="1">
      <c r="A924" s="9"/>
      <c r="B924" s="9"/>
      <c r="C924" s="9"/>
      <c r="D924" s="9"/>
      <c r="E924" s="9"/>
      <c r="F924" s="9"/>
      <c r="G924" s="9"/>
    </row>
    <row r="925" ht="21.0" customHeight="1">
      <c r="A925" s="9"/>
      <c r="B925" s="9"/>
      <c r="C925" s="9"/>
      <c r="D925" s="9"/>
      <c r="E925" s="9"/>
      <c r="F925" s="9"/>
      <c r="G925" s="9"/>
    </row>
    <row r="926" ht="21.0" customHeight="1">
      <c r="A926" s="9"/>
      <c r="B926" s="9"/>
      <c r="C926" s="9"/>
      <c r="D926" s="9"/>
      <c r="E926" s="9"/>
      <c r="F926" s="9"/>
      <c r="G926" s="9"/>
    </row>
    <row r="927" ht="21.0" customHeight="1">
      <c r="A927" s="9"/>
      <c r="B927" s="9"/>
      <c r="C927" s="9"/>
      <c r="D927" s="9"/>
      <c r="E927" s="9"/>
      <c r="F927" s="9"/>
      <c r="G927" s="9"/>
    </row>
    <row r="928" ht="21.0" customHeight="1">
      <c r="A928" s="9"/>
      <c r="B928" s="9"/>
      <c r="C928" s="9"/>
      <c r="D928" s="9"/>
      <c r="E928" s="9"/>
      <c r="F928" s="9"/>
      <c r="G928" s="9"/>
    </row>
    <row r="929" ht="21.0" customHeight="1">
      <c r="A929" s="9"/>
      <c r="B929" s="9"/>
      <c r="C929" s="9"/>
      <c r="D929" s="9"/>
      <c r="E929" s="9"/>
      <c r="F929" s="9"/>
      <c r="G929" s="9"/>
    </row>
    <row r="930" ht="21.0" customHeight="1">
      <c r="A930" s="9"/>
      <c r="B930" s="9"/>
      <c r="C930" s="9"/>
      <c r="D930" s="9"/>
      <c r="E930" s="9"/>
      <c r="F930" s="9"/>
      <c r="G930" s="9"/>
    </row>
    <row r="931" ht="21.0" customHeight="1">
      <c r="A931" s="9"/>
      <c r="B931" s="9"/>
      <c r="C931" s="9"/>
      <c r="D931" s="9"/>
      <c r="E931" s="9"/>
      <c r="F931" s="9"/>
      <c r="G931" s="9"/>
    </row>
    <row r="932" ht="21.0" customHeight="1">
      <c r="A932" s="9"/>
      <c r="B932" s="9"/>
      <c r="C932" s="9"/>
      <c r="D932" s="9"/>
      <c r="E932" s="9"/>
      <c r="F932" s="9"/>
      <c r="G932" s="9"/>
    </row>
    <row r="933" ht="21.0" customHeight="1">
      <c r="A933" s="9"/>
      <c r="B933" s="9"/>
      <c r="C933" s="9"/>
      <c r="D933" s="9"/>
      <c r="E933" s="9"/>
      <c r="F933" s="9"/>
      <c r="G933" s="9"/>
    </row>
    <row r="934" ht="21.0" customHeight="1">
      <c r="A934" s="9"/>
      <c r="B934" s="9"/>
      <c r="C934" s="9"/>
      <c r="D934" s="9"/>
      <c r="E934" s="9"/>
      <c r="F934" s="9"/>
      <c r="G934" s="9"/>
    </row>
    <row r="935" ht="21.0" customHeight="1">
      <c r="A935" s="9"/>
      <c r="B935" s="9"/>
      <c r="C935" s="9"/>
      <c r="D935" s="9"/>
      <c r="E935" s="9"/>
      <c r="F935" s="9"/>
      <c r="G935" s="9"/>
    </row>
    <row r="936" ht="21.0" customHeight="1">
      <c r="A936" s="9"/>
      <c r="B936" s="9"/>
      <c r="C936" s="9"/>
      <c r="D936" s="9"/>
      <c r="E936" s="9"/>
      <c r="F936" s="9"/>
      <c r="G936" s="9"/>
    </row>
    <row r="937" ht="21.0" customHeight="1">
      <c r="A937" s="9"/>
      <c r="B937" s="9"/>
      <c r="C937" s="9"/>
      <c r="D937" s="9"/>
      <c r="E937" s="9"/>
      <c r="F937" s="9"/>
      <c r="G937" s="9"/>
    </row>
    <row r="938" ht="21.0" customHeight="1">
      <c r="A938" s="9"/>
      <c r="B938" s="9"/>
      <c r="C938" s="9"/>
      <c r="D938" s="9"/>
      <c r="E938" s="9"/>
      <c r="F938" s="9"/>
      <c r="G938" s="9"/>
    </row>
    <row r="939" ht="21.0" customHeight="1">
      <c r="A939" s="9"/>
      <c r="B939" s="9"/>
      <c r="C939" s="9"/>
      <c r="D939" s="9"/>
      <c r="E939" s="9"/>
      <c r="F939" s="9"/>
      <c r="G939" s="9"/>
    </row>
    <row r="940" ht="21.0" customHeight="1">
      <c r="A940" s="9"/>
      <c r="B940" s="9"/>
      <c r="C940" s="9"/>
      <c r="D940" s="9"/>
      <c r="E940" s="9"/>
      <c r="F940" s="9"/>
      <c r="G940" s="9"/>
    </row>
    <row r="941" ht="21.0" customHeight="1">
      <c r="A941" s="9"/>
      <c r="B941" s="9"/>
      <c r="C941" s="9"/>
      <c r="D941" s="9"/>
      <c r="E941" s="9"/>
      <c r="F941" s="9"/>
      <c r="G941" s="9"/>
    </row>
    <row r="942" ht="21.0" customHeight="1">
      <c r="A942" s="9"/>
      <c r="B942" s="9"/>
      <c r="C942" s="9"/>
      <c r="D942" s="9"/>
      <c r="E942" s="9"/>
      <c r="F942" s="9"/>
      <c r="G942" s="9"/>
    </row>
    <row r="943" ht="21.0" customHeight="1">
      <c r="A943" s="9"/>
      <c r="B943" s="9"/>
      <c r="C943" s="9"/>
      <c r="D943" s="9"/>
      <c r="E943" s="9"/>
      <c r="F943" s="9"/>
      <c r="G943" s="9"/>
    </row>
    <row r="944" ht="21.0" customHeight="1">
      <c r="A944" s="9"/>
      <c r="B944" s="9"/>
      <c r="C944" s="9"/>
      <c r="D944" s="9"/>
      <c r="E944" s="9"/>
      <c r="F944" s="9"/>
      <c r="G944" s="9"/>
    </row>
    <row r="945" ht="21.0" customHeight="1">
      <c r="A945" s="9"/>
      <c r="B945" s="9"/>
      <c r="C945" s="9"/>
      <c r="D945" s="9"/>
      <c r="E945" s="9"/>
      <c r="F945" s="9"/>
      <c r="G945" s="9"/>
    </row>
    <row r="946" ht="21.0" customHeight="1">
      <c r="A946" s="9"/>
      <c r="B946" s="9"/>
      <c r="C946" s="9"/>
      <c r="D946" s="9"/>
      <c r="E946" s="9"/>
      <c r="F946" s="9"/>
      <c r="G946" s="9"/>
    </row>
    <row r="947" ht="21.0" customHeight="1">
      <c r="A947" s="9"/>
      <c r="B947" s="9"/>
      <c r="C947" s="9"/>
      <c r="D947" s="9"/>
      <c r="E947" s="9"/>
      <c r="F947" s="9"/>
      <c r="G947" s="9"/>
    </row>
    <row r="948" ht="21.0" customHeight="1">
      <c r="A948" s="9"/>
      <c r="B948" s="9"/>
      <c r="C948" s="9"/>
      <c r="D948" s="9"/>
      <c r="E948" s="9"/>
      <c r="F948" s="9"/>
      <c r="G948" s="9"/>
    </row>
    <row r="949" ht="21.0" customHeight="1">
      <c r="A949" s="9"/>
      <c r="B949" s="9"/>
      <c r="C949" s="9"/>
      <c r="D949" s="9"/>
      <c r="E949" s="9"/>
      <c r="F949" s="9"/>
      <c r="G949" s="9"/>
    </row>
    <row r="950" ht="21.0" customHeight="1">
      <c r="A950" s="9"/>
      <c r="B950" s="9"/>
      <c r="C950" s="9"/>
      <c r="D950" s="9"/>
      <c r="E950" s="9"/>
      <c r="F950" s="9"/>
      <c r="G950" s="9"/>
    </row>
    <row r="951" ht="21.0" customHeight="1">
      <c r="A951" s="9"/>
      <c r="B951" s="9"/>
      <c r="C951" s="9"/>
      <c r="D951" s="9"/>
      <c r="E951" s="9"/>
      <c r="F951" s="9"/>
      <c r="G951" s="9"/>
    </row>
    <row r="952" ht="21.0" customHeight="1">
      <c r="A952" s="9"/>
      <c r="B952" s="9"/>
      <c r="C952" s="9"/>
      <c r="D952" s="9"/>
      <c r="E952" s="9"/>
      <c r="F952" s="9"/>
      <c r="G952" s="9"/>
    </row>
    <row r="953" ht="21.0" customHeight="1">
      <c r="A953" s="9"/>
      <c r="B953" s="9"/>
      <c r="C953" s="9"/>
      <c r="D953" s="9"/>
      <c r="E953" s="9"/>
      <c r="F953" s="9"/>
      <c r="G953" s="9"/>
    </row>
    <row r="954" ht="21.0" customHeight="1">
      <c r="A954" s="9"/>
      <c r="B954" s="9"/>
      <c r="C954" s="9"/>
      <c r="D954" s="9"/>
      <c r="E954" s="9"/>
      <c r="F954" s="9"/>
      <c r="G954" s="9"/>
    </row>
    <row r="955" ht="21.0" customHeight="1">
      <c r="A955" s="9"/>
      <c r="B955" s="9"/>
      <c r="C955" s="9"/>
      <c r="D955" s="9"/>
      <c r="E955" s="9"/>
      <c r="F955" s="9"/>
      <c r="G955" s="9"/>
    </row>
    <row r="956" ht="21.0" customHeight="1">
      <c r="A956" s="9"/>
      <c r="B956" s="9"/>
      <c r="C956" s="9"/>
      <c r="D956" s="9"/>
      <c r="E956" s="9"/>
      <c r="F956" s="9"/>
      <c r="G956" s="9"/>
    </row>
    <row r="957" ht="21.0" customHeight="1">
      <c r="A957" s="9"/>
      <c r="B957" s="9"/>
      <c r="C957" s="9"/>
      <c r="D957" s="9"/>
      <c r="E957" s="9"/>
      <c r="F957" s="9"/>
      <c r="G957" s="9"/>
    </row>
    <row r="958" ht="21.0" customHeight="1">
      <c r="A958" s="9"/>
      <c r="B958" s="9"/>
      <c r="C958" s="9"/>
      <c r="D958" s="9"/>
      <c r="E958" s="9"/>
      <c r="F958" s="9"/>
      <c r="G958" s="9"/>
    </row>
    <row r="959" ht="21.0" customHeight="1">
      <c r="A959" s="9"/>
      <c r="B959" s="9"/>
      <c r="C959" s="9"/>
      <c r="D959" s="9"/>
      <c r="E959" s="9"/>
      <c r="F959" s="9"/>
      <c r="G959" s="9"/>
    </row>
    <row r="960" ht="21.0" customHeight="1">
      <c r="A960" s="9"/>
      <c r="B960" s="9"/>
      <c r="C960" s="9"/>
      <c r="D960" s="9"/>
      <c r="E960" s="9"/>
      <c r="F960" s="9"/>
      <c r="G960" s="9"/>
    </row>
    <row r="961" ht="21.0" customHeight="1">
      <c r="A961" s="9"/>
      <c r="B961" s="9"/>
      <c r="C961" s="9"/>
      <c r="D961" s="9"/>
      <c r="E961" s="9"/>
      <c r="F961" s="9"/>
      <c r="G961" s="9"/>
    </row>
    <row r="962" ht="21.0" customHeight="1">
      <c r="A962" s="9"/>
      <c r="B962" s="9"/>
      <c r="C962" s="9"/>
      <c r="D962" s="9"/>
      <c r="E962" s="9"/>
      <c r="F962" s="9"/>
      <c r="G962" s="9"/>
    </row>
    <row r="963" ht="21.0" customHeight="1">
      <c r="A963" s="9"/>
      <c r="B963" s="9"/>
      <c r="C963" s="9"/>
      <c r="D963" s="9"/>
      <c r="E963" s="9"/>
      <c r="F963" s="9"/>
      <c r="G963" s="9"/>
    </row>
    <row r="964" ht="21.0" customHeight="1">
      <c r="A964" s="9"/>
      <c r="B964" s="9"/>
      <c r="C964" s="9"/>
      <c r="D964" s="9"/>
      <c r="E964" s="9"/>
      <c r="F964" s="9"/>
      <c r="G964" s="9"/>
    </row>
    <row r="965" ht="21.0" customHeight="1">
      <c r="A965" s="9"/>
      <c r="B965" s="9"/>
      <c r="C965" s="9"/>
      <c r="D965" s="9"/>
      <c r="E965" s="9"/>
      <c r="F965" s="9"/>
      <c r="G965" s="9"/>
    </row>
    <row r="966" ht="21.0" customHeight="1">
      <c r="A966" s="9"/>
      <c r="B966" s="9"/>
      <c r="C966" s="9"/>
      <c r="D966" s="9"/>
      <c r="E966" s="9"/>
      <c r="F966" s="9"/>
      <c r="G966" s="9"/>
    </row>
    <row r="967" ht="21.0" customHeight="1">
      <c r="A967" s="9"/>
      <c r="B967" s="9"/>
      <c r="C967" s="9"/>
      <c r="D967" s="9"/>
      <c r="E967" s="9"/>
      <c r="F967" s="9"/>
      <c r="G967" s="9"/>
    </row>
    <row r="968" ht="21.0" customHeight="1">
      <c r="A968" s="9"/>
      <c r="B968" s="9"/>
      <c r="C968" s="9"/>
      <c r="D968" s="9"/>
      <c r="E968" s="9"/>
      <c r="F968" s="9"/>
      <c r="G968" s="9"/>
    </row>
    <row r="969" ht="21.0" customHeight="1">
      <c r="A969" s="9"/>
      <c r="B969" s="9"/>
      <c r="C969" s="9"/>
      <c r="D969" s="9"/>
      <c r="E969" s="9"/>
      <c r="F969" s="9"/>
      <c r="G969" s="9"/>
    </row>
    <row r="970" ht="21.0" customHeight="1">
      <c r="A970" s="9"/>
      <c r="B970" s="9"/>
      <c r="C970" s="9"/>
      <c r="D970" s="9"/>
      <c r="E970" s="9"/>
      <c r="F970" s="9"/>
      <c r="G970" s="9"/>
    </row>
    <row r="971" ht="21.0" customHeight="1">
      <c r="A971" s="9"/>
      <c r="B971" s="9"/>
      <c r="C971" s="9"/>
      <c r="D971" s="9"/>
      <c r="E971" s="9"/>
      <c r="F971" s="9"/>
      <c r="G971" s="9"/>
    </row>
    <row r="972" ht="21.0" customHeight="1">
      <c r="A972" s="9"/>
      <c r="B972" s="9"/>
      <c r="C972" s="9"/>
      <c r="D972" s="9"/>
      <c r="E972" s="9"/>
      <c r="F972" s="9"/>
      <c r="G972" s="9"/>
    </row>
    <row r="973" ht="21.0" customHeight="1">
      <c r="A973" s="9"/>
      <c r="B973" s="9"/>
      <c r="C973" s="9"/>
      <c r="D973" s="9"/>
      <c r="E973" s="9"/>
      <c r="F973" s="9"/>
      <c r="G973" s="9"/>
    </row>
    <row r="974" ht="21.0" customHeight="1">
      <c r="A974" s="9"/>
      <c r="B974" s="9"/>
      <c r="C974" s="9"/>
      <c r="D974" s="9"/>
      <c r="E974" s="9"/>
      <c r="F974" s="9"/>
      <c r="G974" s="9"/>
    </row>
    <row r="975" ht="21.0" customHeight="1">
      <c r="A975" s="9"/>
      <c r="B975" s="9"/>
      <c r="C975" s="9"/>
      <c r="D975" s="9"/>
      <c r="E975" s="9"/>
      <c r="F975" s="9"/>
      <c r="G975" s="9"/>
    </row>
    <row r="976" ht="21.0" customHeight="1">
      <c r="A976" s="9"/>
      <c r="B976" s="9"/>
      <c r="C976" s="9"/>
      <c r="D976" s="9"/>
      <c r="E976" s="9"/>
      <c r="F976" s="9"/>
      <c r="G976" s="9"/>
    </row>
    <row r="977" ht="21.0" customHeight="1">
      <c r="A977" s="9"/>
      <c r="B977" s="9"/>
      <c r="C977" s="9"/>
      <c r="D977" s="9"/>
      <c r="E977" s="9"/>
      <c r="F977" s="9"/>
      <c r="G977" s="9"/>
    </row>
    <row r="978" ht="21.0" customHeight="1">
      <c r="A978" s="9"/>
      <c r="B978" s="9"/>
      <c r="C978" s="9"/>
      <c r="D978" s="9"/>
      <c r="E978" s="9"/>
      <c r="F978" s="9"/>
      <c r="G978" s="9"/>
    </row>
    <row r="979" ht="21.0" customHeight="1">
      <c r="A979" s="9"/>
      <c r="B979" s="9"/>
      <c r="C979" s="9"/>
      <c r="D979" s="9"/>
      <c r="E979" s="9"/>
      <c r="F979" s="9"/>
      <c r="G979" s="9"/>
    </row>
    <row r="980" ht="21.0" customHeight="1">
      <c r="A980" s="9"/>
      <c r="B980" s="9"/>
      <c r="C980" s="9"/>
      <c r="D980" s="9"/>
      <c r="E980" s="9"/>
      <c r="F980" s="9"/>
      <c r="G980" s="9"/>
    </row>
    <row r="981" ht="21.0" customHeight="1">
      <c r="A981" s="9"/>
      <c r="B981" s="9"/>
      <c r="C981" s="9"/>
      <c r="D981" s="9"/>
      <c r="E981" s="9"/>
      <c r="F981" s="9"/>
      <c r="G981" s="9"/>
    </row>
    <row r="982" ht="21.0" customHeight="1">
      <c r="A982" s="9"/>
      <c r="B982" s="9"/>
      <c r="C982" s="9"/>
      <c r="D982" s="9"/>
      <c r="E982" s="9"/>
      <c r="F982" s="9"/>
      <c r="G982" s="9"/>
    </row>
    <row r="983" ht="21.0" customHeight="1">
      <c r="A983" s="9"/>
      <c r="B983" s="9"/>
      <c r="C983" s="9"/>
      <c r="D983" s="9"/>
      <c r="E983" s="9"/>
      <c r="F983" s="9"/>
      <c r="G983" s="9"/>
    </row>
    <row r="984" ht="21.0" customHeight="1">
      <c r="A984" s="9"/>
      <c r="B984" s="9"/>
      <c r="C984" s="9"/>
      <c r="D984" s="9"/>
      <c r="E984" s="9"/>
      <c r="F984" s="9"/>
      <c r="G984" s="9"/>
    </row>
    <row r="985" ht="21.0" customHeight="1">
      <c r="A985" s="9"/>
      <c r="B985" s="9"/>
      <c r="C985" s="9"/>
      <c r="D985" s="9"/>
      <c r="E985" s="9"/>
      <c r="F985" s="9"/>
      <c r="G985" s="9"/>
    </row>
    <row r="986" ht="21.0" customHeight="1">
      <c r="A986" s="9"/>
      <c r="B986" s="9"/>
      <c r="C986" s="9"/>
      <c r="D986" s="9"/>
      <c r="E986" s="9"/>
      <c r="F986" s="9"/>
      <c r="G986" s="9"/>
    </row>
    <row r="987" ht="21.0" customHeight="1">
      <c r="A987" s="9"/>
      <c r="B987" s="9"/>
      <c r="C987" s="9"/>
      <c r="D987" s="9"/>
      <c r="E987" s="9"/>
      <c r="F987" s="9"/>
      <c r="G987" s="9"/>
    </row>
    <row r="988" ht="21.0" customHeight="1">
      <c r="A988" s="9"/>
      <c r="B988" s="9"/>
      <c r="C988" s="9"/>
      <c r="D988" s="9"/>
      <c r="E988" s="9"/>
      <c r="F988" s="9"/>
      <c r="G988" s="9"/>
    </row>
    <row r="989" ht="21.0" customHeight="1">
      <c r="A989" s="9"/>
      <c r="B989" s="9"/>
      <c r="C989" s="9"/>
      <c r="D989" s="9"/>
      <c r="E989" s="9"/>
      <c r="F989" s="9"/>
      <c r="G989" s="9"/>
    </row>
    <row r="990" ht="21.0" customHeight="1">
      <c r="A990" s="9"/>
      <c r="B990" s="9"/>
      <c r="C990" s="9"/>
      <c r="D990" s="9"/>
      <c r="E990" s="9"/>
      <c r="F990" s="9"/>
      <c r="G990" s="9"/>
    </row>
    <row r="991" ht="21.0" customHeight="1">
      <c r="A991" s="9"/>
      <c r="B991" s="9"/>
      <c r="C991" s="9"/>
      <c r="D991" s="9"/>
      <c r="E991" s="9"/>
      <c r="F991" s="9"/>
      <c r="G991" s="9"/>
    </row>
    <row r="992" ht="21.0" customHeight="1">
      <c r="A992" s="9"/>
      <c r="B992" s="9"/>
      <c r="C992" s="9"/>
      <c r="D992" s="9"/>
      <c r="E992" s="9"/>
      <c r="F992" s="9"/>
      <c r="G992" s="9"/>
    </row>
    <row r="993" ht="21.0" customHeight="1">
      <c r="A993" s="9"/>
      <c r="B993" s="9"/>
      <c r="C993" s="9"/>
      <c r="D993" s="9"/>
      <c r="E993" s="9"/>
      <c r="F993" s="9"/>
      <c r="G993" s="9"/>
    </row>
    <row r="994" ht="21.0" customHeight="1">
      <c r="A994" s="9"/>
      <c r="B994" s="9"/>
      <c r="C994" s="9"/>
      <c r="D994" s="9"/>
      <c r="E994" s="9"/>
      <c r="F994" s="9"/>
      <c r="G994" s="9"/>
    </row>
    <row r="995" ht="21.0" customHeight="1">
      <c r="A995" s="9"/>
      <c r="B995" s="9"/>
      <c r="C995" s="9"/>
      <c r="D995" s="9"/>
      <c r="E995" s="9"/>
      <c r="F995" s="9"/>
      <c r="G995" s="9"/>
    </row>
    <row r="996" ht="21.0" customHeight="1">
      <c r="A996" s="9"/>
      <c r="B996" s="9"/>
      <c r="C996" s="9"/>
      <c r="D996" s="9"/>
      <c r="E996" s="9"/>
      <c r="F996" s="9"/>
      <c r="G996" s="9"/>
    </row>
    <row r="997" ht="21.0" customHeight="1">
      <c r="A997" s="9"/>
      <c r="B997" s="9"/>
      <c r="C997" s="9"/>
      <c r="D997" s="9"/>
      <c r="E997" s="9"/>
      <c r="F997" s="9"/>
      <c r="G997" s="9"/>
    </row>
    <row r="998" ht="21.0" customHeight="1">
      <c r="A998" s="9"/>
      <c r="B998" s="9"/>
      <c r="C998" s="9"/>
      <c r="D998" s="9"/>
      <c r="E998" s="9"/>
      <c r="F998" s="9"/>
      <c r="G998" s="9"/>
    </row>
    <row r="999" ht="21.0" customHeight="1">
      <c r="A999" s="9"/>
      <c r="B999" s="9"/>
      <c r="C999" s="9"/>
      <c r="D999" s="9"/>
      <c r="E999" s="9"/>
      <c r="F999" s="9"/>
      <c r="G999" s="9"/>
    </row>
    <row r="1000" ht="21.0" customHeight="1">
      <c r="A1000" s="9"/>
      <c r="B1000" s="9"/>
      <c r="C1000" s="9"/>
      <c r="D1000" s="9"/>
      <c r="E1000" s="9"/>
      <c r="F1000" s="9"/>
      <c r="G1000" s="9"/>
    </row>
  </sheetData>
  <mergeCells count="3">
    <mergeCell ref="B3:B4"/>
    <mergeCell ref="C3:C4"/>
    <mergeCell ref="E3:E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14.0"/>
    <col customWidth="1" min="3" max="3" width="12.0"/>
    <col customWidth="1" min="4" max="4" width="10.0"/>
    <col customWidth="1" min="5" max="8" width="14.0"/>
    <col customWidth="1" min="9" max="9" width="36.0"/>
    <col customWidth="1" min="10" max="27" width="8.63"/>
  </cols>
  <sheetData>
    <row r="1" ht="21.0" customHeight="1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0" t="s">
        <v>30</v>
      </c>
      <c r="G1" s="10" t="s">
        <v>31</v>
      </c>
      <c r="H1" s="1" t="s">
        <v>4</v>
      </c>
      <c r="I1" s="1" t="s">
        <v>32</v>
      </c>
    </row>
    <row r="2" ht="21.0" customHeight="1">
      <c r="A2" s="2" t="s">
        <v>33</v>
      </c>
      <c r="B2" s="2" t="s">
        <v>34</v>
      </c>
      <c r="C2" s="2" t="s">
        <v>35</v>
      </c>
      <c r="D2" s="2" t="s">
        <v>36</v>
      </c>
      <c r="E2" s="3">
        <f>9326.75</f>
      </c>
      <c r="F2" s="11">
        <v>6610.0</v>
      </c>
      <c r="G2" s="11">
        <v>2451.0</v>
      </c>
      <c r="H2" s="3">
        <f>E2-IF(F2="",0,F2)-IF(G2="",0,G2)</f>
      </c>
      <c r="I2" s="12" t="s">
        <v>37</v>
      </c>
    </row>
    <row r="3" ht="21.0" customHeight="1">
      <c r="A3" s="2" t="s">
        <v>33</v>
      </c>
      <c r="B3" s="2" t="s">
        <v>38</v>
      </c>
      <c r="C3" s="2" t="s">
        <v>39</v>
      </c>
      <c r="D3" s="2" t="s">
        <v>36</v>
      </c>
      <c r="E3" s="3">
        <f>9326.75+IF(AND(F2&lt;&gt;"",G2&lt;&gt;""),H2,0)</f>
      </c>
      <c r="F3" s="12"/>
      <c r="G3" s="12"/>
      <c r="H3" s="3">
        <f>E3-IF(F3="",0,F3)-IF(G3="",0,G3)</f>
      </c>
      <c r="I3" s="12"/>
    </row>
    <row r="4" ht="21.0" customHeight="1">
      <c r="A4" s="2" t="s">
        <v>40</v>
      </c>
      <c r="B4" s="2" t="s">
        <v>41</v>
      </c>
      <c r="C4" s="2" t="s">
        <v>42</v>
      </c>
      <c r="D4" s="2" t="s">
        <v>36</v>
      </c>
      <c r="E4" s="3">
        <f>9326.75+IF(AND(F3&lt;&gt;"",G3&lt;&gt;""),H3,0)</f>
      </c>
      <c r="F4" s="11"/>
      <c r="G4" s="11"/>
      <c r="H4" s="3">
        <f>E4-IF(F4="",0,F4)-IF(G4="",0,G4)</f>
      </c>
      <c r="I4" s="12"/>
    </row>
    <row r="5" ht="21.0" customHeight="1">
      <c r="A5" s="2" t="s">
        <v>40</v>
      </c>
      <c r="B5" s="2" t="s">
        <v>43</v>
      </c>
      <c r="C5" s="2" t="s">
        <v>44</v>
      </c>
      <c r="D5" s="2" t="s">
        <v>36</v>
      </c>
      <c r="E5" s="3">
        <f>9326.75+IF(AND(F4&lt;&gt;"",G4&lt;&gt;""),H4,0)</f>
      </c>
      <c r="F5" s="12"/>
      <c r="G5" s="12"/>
      <c r="H5" s="3">
        <f>E5-IF(F5="",0,F5)-IF(G5="",0,G5)</f>
      </c>
      <c r="I5" s="12"/>
    </row>
    <row r="6" ht="21.0" customHeight="1">
      <c r="A6" s="2" t="s">
        <v>40</v>
      </c>
      <c r="B6" s="2" t="s">
        <v>45</v>
      </c>
      <c r="C6" s="2" t="s">
        <v>46</v>
      </c>
      <c r="D6" s="2" t="s">
        <v>36</v>
      </c>
      <c r="E6" s="3">
        <f>9326.75+IF(AND(F5&lt;&gt;"",G5&lt;&gt;""),H5,0)</f>
      </c>
      <c r="F6" s="12"/>
      <c r="G6" s="12"/>
      <c r="H6" s="3">
        <f>E6-IF(F6="",0,F6)-IF(G6="",0,G6)</f>
      </c>
      <c r="I6" s="12"/>
    </row>
    <row r="7" ht="21.0" customHeight="1">
      <c r="A7" s="2" t="s">
        <v>40</v>
      </c>
      <c r="B7" s="2" t="s">
        <v>47</v>
      </c>
      <c r="C7" s="2" t="s">
        <v>48</v>
      </c>
      <c r="D7" s="2" t="s">
        <v>36</v>
      </c>
      <c r="E7" s="3">
        <f>9326.75+IF(AND(F6&lt;&gt;"",G6&lt;&gt;""),H6,0)</f>
      </c>
      <c r="F7" s="12"/>
      <c r="G7" s="12"/>
      <c r="H7" s="3">
        <f>E7-IF(F7="",0,F7)-IF(G7="",0,G7)</f>
      </c>
      <c r="I7" s="12"/>
    </row>
    <row r="8" ht="21.0" customHeight="1">
      <c r="A8" s="2" t="s">
        <v>40</v>
      </c>
      <c r="B8" s="2" t="s">
        <v>49</v>
      </c>
      <c r="C8" s="2" t="s">
        <v>50</v>
      </c>
      <c r="D8" s="2" t="s">
        <v>63</v>
      </c>
      <c r="E8" s="3">
        <f>IF(AND(F7&lt;&gt;"",G7&lt;&gt;""),H7,0)</f>
      </c>
      <c r="F8" s="12"/>
      <c r="G8" s="12"/>
      <c r="H8" s="3">
        <f>E8-IF(F8="",0,F8)-IF(G8="",0,G8)</f>
      </c>
      <c r="I8" s="12" t="s">
        <v>132</v>
      </c>
    </row>
    <row r="9" ht="21.0" customHeight="1">
      <c r="A9" s="2" t="s">
        <v>51</v>
      </c>
      <c r="B9" s="2" t="s">
        <v>52</v>
      </c>
      <c r="C9" s="2" t="s">
        <v>53</v>
      </c>
      <c r="D9" s="2" t="s">
        <v>36</v>
      </c>
      <c r="E9" s="3">
        <f>9326.75+IF(H8="",0,H8)</f>
      </c>
      <c r="F9" s="12"/>
      <c r="G9" s="12"/>
      <c r="H9" s="3">
        <f>E9-IF(F9="",0,F9)-IF(G9="",0,G9)</f>
      </c>
      <c r="I9" s="12"/>
    </row>
    <row r="10" ht="21.0" customHeight="1">
      <c r="A10" s="2" t="s">
        <v>51</v>
      </c>
      <c r="B10" s="2" t="s">
        <v>54</v>
      </c>
      <c r="C10" s="2" t="s">
        <v>55</v>
      </c>
      <c r="D10" s="2" t="s">
        <v>36</v>
      </c>
      <c r="E10" s="3">
        <f>9326.75+IF(AND(F9&lt;&gt;"",G9&lt;&gt;""),H9,0)</f>
      </c>
      <c r="F10" s="12"/>
      <c r="G10" s="12"/>
      <c r="H10" s="3">
        <f>E10-IF(F10="",0,F10)-IF(G10="",0,G10)</f>
      </c>
      <c r="I10" s="12"/>
    </row>
    <row r="11" ht="21.0" customHeight="1">
      <c r="A11" s="2" t="s">
        <v>51</v>
      </c>
      <c r="B11" s="2" t="s">
        <v>56</v>
      </c>
      <c r="C11" s="2" t="s">
        <v>57</v>
      </c>
      <c r="D11" s="2" t="s">
        <v>36</v>
      </c>
      <c r="E11" s="3">
        <f>9326.75+IF(AND(F10&lt;&gt;"",G10&lt;&gt;""),H10,0)</f>
      </c>
      <c r="F11" s="12"/>
      <c r="G11" s="12"/>
      <c r="H11" s="3">
        <f>E11-IF(F11="",0,F11)-IF(G11="",0,G11)</f>
      </c>
      <c r="I11" s="12"/>
    </row>
    <row r="12" ht="21.0" customHeight="1">
      <c r="A12" s="2" t="s">
        <v>51</v>
      </c>
      <c r="B12" s="2" t="s">
        <v>58</v>
      </c>
      <c r="C12" s="2" t="s">
        <v>59</v>
      </c>
      <c r="D12" s="2" t="s">
        <v>36</v>
      </c>
      <c r="E12" s="3">
        <f>9326.75+IF(AND(F11&lt;&gt;"",G11&lt;&gt;""),H11,0)</f>
      </c>
      <c r="F12" s="12"/>
      <c r="G12" s="12"/>
      <c r="H12" s="3">
        <f>E12-IF(F12="",0,F12)-IF(G12="",0,G12)</f>
      </c>
      <c r="I12" s="12"/>
    </row>
    <row r="13" ht="21.0" customHeight="1">
      <c r="A13" s="2" t="s">
        <v>60</v>
      </c>
      <c r="B13" s="2" t="s">
        <v>61</v>
      </c>
      <c r="C13" s="2" t="s">
        <v>62</v>
      </c>
      <c r="D13" s="2" t="s">
        <v>63</v>
      </c>
      <c r="E13" s="3">
        <f>IF(AND(F12&lt;&gt;"",G12&lt;&gt;""),H12,0)</f>
      </c>
      <c r="F13" s="12"/>
      <c r="G13" s="12"/>
      <c r="H13" s="3">
        <f>E13-IF(F13="",0,F13)-IF(G13="",0,G13)</f>
      </c>
      <c r="I13" s="12" t="s">
        <v>64</v>
      </c>
    </row>
    <row r="14" ht="21.0" customHeight="1">
      <c r="A14" s="2" t="s">
        <v>60</v>
      </c>
      <c r="B14" s="2" t="s">
        <v>65</v>
      </c>
      <c r="C14" s="2" t="s">
        <v>66</v>
      </c>
      <c r="D14" s="2" t="s">
        <v>36</v>
      </c>
      <c r="E14" s="3">
        <f>9326.75+IF(H13="",0,H13)</f>
      </c>
      <c r="F14" s="12"/>
      <c r="G14" s="12"/>
      <c r="H14" s="3">
        <f>E14-IF(F14="",0,F14)-IF(G14="",0,G14)</f>
      </c>
      <c r="I14" s="12"/>
    </row>
    <row r="15" ht="21.0" customHeight="1">
      <c r="A15" s="2" t="s">
        <v>60</v>
      </c>
      <c r="B15" s="2" t="s">
        <v>67</v>
      </c>
      <c r="C15" s="2" t="s">
        <v>68</v>
      </c>
      <c r="D15" s="2" t="s">
        <v>36</v>
      </c>
      <c r="E15" s="3">
        <f>9326.75+IF(AND(F14&lt;&gt;"",G14&lt;&gt;""),H14,0)</f>
      </c>
      <c r="F15" s="12"/>
      <c r="G15" s="12"/>
      <c r="H15" s="3">
        <f>E15-IF(F15="",0,F15)-IF(G15="",0,G15)</f>
      </c>
      <c r="I15" s="12"/>
    </row>
    <row r="16" ht="21.0" customHeight="1">
      <c r="A16" s="2" t="s">
        <v>60</v>
      </c>
      <c r="B16" s="2" t="s">
        <v>69</v>
      </c>
      <c r="C16" s="2" t="s">
        <v>70</v>
      </c>
      <c r="D16" s="2" t="s">
        <v>36</v>
      </c>
      <c r="E16" s="3">
        <f>9326.75+IF(AND(F15&lt;&gt;"",G15&lt;&gt;""),H15,0)</f>
      </c>
      <c r="F16" s="12"/>
      <c r="G16" s="12"/>
      <c r="H16" s="3">
        <f>E16-IF(F16="",0,F16)-IF(G16="",0,G16)</f>
      </c>
      <c r="I16" s="12"/>
    </row>
    <row r="17" ht="21.0" customHeight="1">
      <c r="A17" s="2" t="s">
        <v>71</v>
      </c>
      <c r="B17" s="2" t="s">
        <v>72</v>
      </c>
      <c r="C17" s="2" t="s">
        <v>73</v>
      </c>
      <c r="D17" s="2" t="s">
        <v>36</v>
      </c>
      <c r="E17" s="3">
        <f>9326.75+IF(AND(F16&lt;&gt;"",G16&lt;&gt;""),H16,0)</f>
      </c>
      <c r="F17" s="12"/>
      <c r="G17" s="12"/>
      <c r="H17" s="3">
        <f>E17-IF(F17="",0,F17)-IF(G17="",0,G17)</f>
      </c>
      <c r="I17" s="12"/>
    </row>
    <row r="18" ht="21.0" customHeight="1">
      <c r="A18" s="2" t="s">
        <v>71</v>
      </c>
      <c r="B18" s="2" t="s">
        <v>74</v>
      </c>
      <c r="C18" s="2" t="s">
        <v>75</v>
      </c>
      <c r="D18" s="2" t="s">
        <v>36</v>
      </c>
      <c r="E18" s="3">
        <f>9326.75+IF(AND(F17&lt;&gt;"",G17&lt;&gt;""),H17,0)</f>
      </c>
      <c r="F18" s="12"/>
      <c r="G18" s="12"/>
      <c r="H18" s="3">
        <f>E18-IF(F18="",0,F18)-IF(G18="",0,G18)</f>
      </c>
      <c r="I18" s="12"/>
    </row>
    <row r="19" ht="21.0" customHeight="1">
      <c r="A19" s="2" t="s">
        <v>71</v>
      </c>
      <c r="B19" s="2" t="s">
        <v>76</v>
      </c>
      <c r="C19" s="2" t="s">
        <v>77</v>
      </c>
      <c r="D19" s="2" t="s">
        <v>36</v>
      </c>
      <c r="E19" s="3">
        <f>9326.75+IF(AND(F18&lt;&gt;"",G18&lt;&gt;""),H18,0)</f>
      </c>
      <c r="F19" s="12"/>
      <c r="G19" s="12"/>
      <c r="H19" s="3">
        <f>E19-IF(F19="",0,F19)-IF(G19="",0,G19)</f>
      </c>
      <c r="I19" s="12"/>
    </row>
    <row r="20" ht="21.0" customHeight="1">
      <c r="A20" s="2" t="s">
        <v>71</v>
      </c>
      <c r="B20" s="2" t="s">
        <v>78</v>
      </c>
      <c r="C20" s="2" t="s">
        <v>79</v>
      </c>
      <c r="D20" s="2" t="s">
        <v>36</v>
      </c>
      <c r="E20" s="3">
        <f>9326.75+IF(AND(F19&lt;&gt;"",G19&lt;&gt;""),H19,0)</f>
      </c>
      <c r="F20" s="12"/>
      <c r="G20" s="12"/>
      <c r="H20" s="3">
        <f>E20-IF(F20="",0,F20)-IF(G20="",0,G20)</f>
      </c>
      <c r="I20" s="12"/>
    </row>
    <row r="21" ht="21.0" customHeight="1">
      <c r="A21" s="2" t="s">
        <v>71</v>
      </c>
      <c r="B21" s="2" t="s">
        <v>80</v>
      </c>
      <c r="C21" s="2" t="s">
        <v>81</v>
      </c>
      <c r="D21" s="2" t="s">
        <v>36</v>
      </c>
      <c r="E21" s="3">
        <f>9326.75+IF(AND(F20&lt;&gt;"",G20&lt;&gt;""),H20,0)</f>
      </c>
      <c r="F21" s="12"/>
      <c r="G21" s="12"/>
      <c r="H21" s="3">
        <f>E21-IF(F21="",0,F21)-IF(G21="",0,G21)</f>
      </c>
      <c r="I21" s="12"/>
    </row>
    <row r="22" ht="21.0" customHeight="1">
      <c r="A22" s="2" t="s">
        <v>82</v>
      </c>
      <c r="B22" s="2" t="s">
        <v>83</v>
      </c>
      <c r="C22" s="2" t="s">
        <v>84</v>
      </c>
      <c r="D22" s="2" t="s">
        <v>36</v>
      </c>
      <c r="E22" s="3">
        <f>9326.75+IF(AND(F21&lt;&gt;"",G21&lt;&gt;""),H21,0)</f>
      </c>
      <c r="F22" s="12"/>
      <c r="G22" s="12"/>
      <c r="H22" s="3">
        <f>E22-IF(F22="",0,F22)-IF(G22="",0,G22)</f>
      </c>
      <c r="I22" s="12"/>
    </row>
    <row r="23" ht="21.0" customHeight="1">
      <c r="A23" s="2" t="s">
        <v>82</v>
      </c>
      <c r="B23" s="2" t="s">
        <v>85</v>
      </c>
      <c r="C23" s="2" t="s">
        <v>86</v>
      </c>
      <c r="D23" s="2" t="s">
        <v>36</v>
      </c>
      <c r="E23" s="3">
        <f>9326.75+IF(AND(F22&lt;&gt;"",G22&lt;&gt;""),H22,0)</f>
      </c>
      <c r="F23" s="12"/>
      <c r="G23" s="12"/>
      <c r="H23" s="3">
        <f>E23-IF(F23="",0,F23)-IF(G23="",0,G23)</f>
      </c>
      <c r="I23" s="12"/>
    </row>
    <row r="24" ht="21.0" customHeight="1">
      <c r="A24" s="2" t="s">
        <v>82</v>
      </c>
      <c r="B24" s="2" t="s">
        <v>87</v>
      </c>
      <c r="C24" s="2" t="s">
        <v>88</v>
      </c>
      <c r="D24" s="2" t="s">
        <v>36</v>
      </c>
      <c r="E24" s="3">
        <f>9326.75+IF(AND(F23&lt;&gt;"",G23&lt;&gt;""),H23,0)</f>
      </c>
      <c r="F24" s="12"/>
      <c r="G24" s="12"/>
      <c r="H24" s="3">
        <f>E24-IF(F24="",0,F24)-IF(G24="",0,G24)</f>
      </c>
      <c r="I24" s="12"/>
    </row>
    <row r="25" ht="21.0" customHeight="1">
      <c r="A25" s="2" t="s">
        <v>82</v>
      </c>
      <c r="B25" s="2" t="s">
        <v>89</v>
      </c>
      <c r="C25" s="2" t="s">
        <v>90</v>
      </c>
      <c r="D25" s="2" t="s">
        <v>36</v>
      </c>
      <c r="E25" s="3">
        <f>9326.75+IF(AND(F24&lt;&gt;"",G24&lt;&gt;""),H24,0)</f>
      </c>
      <c r="F25" s="12"/>
      <c r="G25" s="12"/>
      <c r="H25" s="3">
        <f>E25-IF(F25="",0,F25)-IF(G25="",0,G25)</f>
      </c>
      <c r="I25" s="12"/>
    </row>
    <row r="26" ht="21.0" customHeight="1">
      <c r="A26" s="2" t="s">
        <v>91</v>
      </c>
      <c r="B26" s="2" t="s">
        <v>92</v>
      </c>
      <c r="C26" s="2" t="s">
        <v>93</v>
      </c>
      <c r="D26" s="2" t="s">
        <v>36</v>
      </c>
      <c r="E26" s="3">
        <f>9326.75+IF(AND(F25&lt;&gt;"",G25&lt;&gt;""),H25,0)</f>
      </c>
      <c r="F26" s="12"/>
      <c r="G26" s="12"/>
      <c r="H26" s="3">
        <f>E26-IF(F26="",0,F26)-IF(G26="",0,G26)</f>
      </c>
      <c r="I26" s="12"/>
    </row>
    <row r="27" ht="21.0" customHeight="1">
      <c r="A27" s="2" t="s">
        <v>91</v>
      </c>
      <c r="B27" s="2" t="s">
        <v>94</v>
      </c>
      <c r="C27" s="2" t="s">
        <v>95</v>
      </c>
      <c r="D27" s="2" t="s">
        <v>36</v>
      </c>
      <c r="E27" s="3">
        <f>9326.75+IF(AND(F26&lt;&gt;"",G26&lt;&gt;""),H26,0)</f>
      </c>
      <c r="F27" s="12"/>
      <c r="G27" s="12"/>
      <c r="H27" s="3">
        <f>E27-IF(F27="",0,F27)-IF(G27="",0,G27)</f>
      </c>
      <c r="I27" s="12"/>
    </row>
    <row r="28" ht="21.0" customHeight="1">
      <c r="A28" s="2" t="s">
        <v>91</v>
      </c>
      <c r="B28" s="2" t="s">
        <v>96</v>
      </c>
      <c r="C28" s="2" t="s">
        <v>97</v>
      </c>
      <c r="D28" s="2" t="s">
        <v>36</v>
      </c>
      <c r="E28" s="3">
        <f>9326.75+IF(AND(F27&lt;&gt;"",G27&lt;&gt;""),H27,0)</f>
      </c>
      <c r="F28" s="12"/>
      <c r="G28" s="12"/>
      <c r="H28" s="3">
        <f>E28-IF(F28="",0,F28)-IF(G28="",0,G28)</f>
      </c>
      <c r="I28" s="12"/>
    </row>
    <row r="29" ht="21.0" customHeight="1">
      <c r="A29" s="2" t="s">
        <v>91</v>
      </c>
      <c r="B29" s="2" t="s">
        <v>98</v>
      </c>
      <c r="C29" s="2" t="s">
        <v>99</v>
      </c>
      <c r="D29" s="2" t="s">
        <v>36</v>
      </c>
      <c r="E29" s="3">
        <f>9326.75+IF(AND(F28&lt;&gt;"",G28&lt;&gt;""),H28,0)</f>
      </c>
      <c r="F29" s="12"/>
      <c r="G29" s="12"/>
      <c r="H29" s="3">
        <f>E29-IF(F29="",0,F29)-IF(G29="",0,G29)</f>
      </c>
      <c r="I29" s="12"/>
    </row>
    <row r="30" ht="21.0" customHeight="1">
      <c r="A30" s="2" t="s">
        <v>100</v>
      </c>
      <c r="B30" s="2" t="s">
        <v>101</v>
      </c>
      <c r="C30" s="2" t="s">
        <v>102</v>
      </c>
      <c r="D30" s="2" t="s">
        <v>36</v>
      </c>
      <c r="E30" s="3">
        <f>9326.75+IF(AND(F29&lt;&gt;"",G29&lt;&gt;""),H29,0)</f>
      </c>
      <c r="F30" s="12"/>
      <c r="G30" s="12"/>
      <c r="H30" s="3">
        <f>E30-IF(F30="",0,F30)-IF(G30="",0,G30)</f>
      </c>
      <c r="I30" s="12"/>
    </row>
    <row r="31" ht="21.0" customHeight="1">
      <c r="A31" s="2" t="s">
        <v>100</v>
      </c>
      <c r="B31" s="2" t="s">
        <v>103</v>
      </c>
      <c r="C31" s="2" t="s">
        <v>104</v>
      </c>
      <c r="D31" s="2" t="s">
        <v>36</v>
      </c>
      <c r="E31" s="3">
        <f>9326.75+IF(AND(F30&lt;&gt;"",G30&lt;&gt;""),H30,0)</f>
      </c>
      <c r="F31" s="12"/>
      <c r="G31" s="12"/>
      <c r="H31" s="3">
        <f>E31-IF(F31="",0,F31)-IF(G31="",0,G31)</f>
      </c>
      <c r="I31" s="12"/>
    </row>
    <row r="32" ht="21.0" customHeight="1">
      <c r="A32" s="2" t="s">
        <v>100</v>
      </c>
      <c r="B32" s="2" t="s">
        <v>105</v>
      </c>
      <c r="C32" s="2" t="s">
        <v>106</v>
      </c>
      <c r="D32" s="2" t="s">
        <v>36</v>
      </c>
      <c r="E32" s="3">
        <f>9326.75+IF(AND(F31&lt;&gt;"",G31&lt;&gt;""),H31,0)</f>
      </c>
      <c r="F32" s="12"/>
      <c r="G32" s="12"/>
      <c r="H32" s="3">
        <f>E32-IF(F32="",0,F32)-IF(G32="",0,G32)</f>
      </c>
      <c r="I32" s="12"/>
    </row>
    <row r="33" ht="21.0" customHeight="1">
      <c r="A33" s="2" t="s">
        <v>100</v>
      </c>
      <c r="B33" s="2" t="s">
        <v>107</v>
      </c>
      <c r="C33" s="2" t="s">
        <v>108</v>
      </c>
      <c r="D33" s="2" t="s">
        <v>36</v>
      </c>
      <c r="E33" s="3">
        <f>9326.75+IF(AND(F32&lt;&gt;"",G32&lt;&gt;""),H32,0)</f>
      </c>
      <c r="F33" s="12"/>
      <c r="G33" s="12"/>
      <c r="H33" s="3">
        <f>E33-IF(F33="",0,F33)-IF(G33="",0,G33)</f>
      </c>
      <c r="I33" s="12"/>
    </row>
    <row r="34" ht="21.0" customHeight="1">
      <c r="A34" s="2" t="s">
        <v>100</v>
      </c>
      <c r="B34" s="2" t="s">
        <v>109</v>
      </c>
      <c r="C34" s="2" t="s">
        <v>110</v>
      </c>
      <c r="D34" s="2" t="s">
        <v>36</v>
      </c>
      <c r="E34" s="3">
        <f>9326.75+IF(AND(F33&lt;&gt;"",G33&lt;&gt;""),H33,0)</f>
      </c>
      <c r="F34" s="12"/>
      <c r="G34" s="12"/>
      <c r="H34" s="3">
        <f>E34-IF(F34="",0,F34)-IF(G34="",0,G34)</f>
      </c>
      <c r="I34" s="12"/>
    </row>
    <row r="35" ht="21.0" customHeight="1">
      <c r="A35" s="2" t="s">
        <v>111</v>
      </c>
      <c r="B35" s="2" t="s">
        <v>112</v>
      </c>
      <c r="C35" s="2" t="s">
        <v>113</v>
      </c>
      <c r="D35" s="2" t="s">
        <v>36</v>
      </c>
      <c r="E35" s="3">
        <f>9326.75+IF(AND(F34&lt;&gt;"",G34&lt;&gt;""),H34,0)</f>
      </c>
      <c r="F35" s="12"/>
      <c r="G35" s="12"/>
      <c r="H35" s="3">
        <f>E35-IF(F35="",0,F35)-IF(G35="",0,G35)</f>
      </c>
      <c r="I35" s="12"/>
    </row>
    <row r="36" ht="21.0" customHeight="1">
      <c r="A36" s="2" t="s">
        <v>111</v>
      </c>
      <c r="B36" s="2" t="s">
        <v>114</v>
      </c>
      <c r="C36" s="2" t="s">
        <v>115</v>
      </c>
      <c r="D36" s="2" t="s">
        <v>36</v>
      </c>
      <c r="E36" s="3">
        <f>9326.75+IF(AND(F35&lt;&gt;"",G35&lt;&gt;""),H35,0)</f>
      </c>
      <c r="F36" s="12"/>
      <c r="G36" s="12"/>
      <c r="H36" s="3">
        <f>E36-IF(F36="",0,F36)-IF(G36="",0,G36)</f>
      </c>
      <c r="I36" s="12"/>
    </row>
    <row r="37" ht="21.0" customHeight="1">
      <c r="A37" s="2" t="s">
        <v>111</v>
      </c>
      <c r="B37" s="2" t="s">
        <v>116</v>
      </c>
      <c r="C37" s="2" t="s">
        <v>117</v>
      </c>
      <c r="D37" s="2" t="s">
        <v>36</v>
      </c>
      <c r="E37" s="3">
        <f>9326.75+IF(AND(F36&lt;&gt;"",G36&lt;&gt;""),H36,0)</f>
      </c>
      <c r="F37" s="12"/>
      <c r="G37" s="12"/>
      <c r="H37" s="3">
        <f>E37-IF(F37="",0,F37)-IF(G37="",0,G37)</f>
      </c>
      <c r="I37" s="12"/>
    </row>
    <row r="38" ht="21.0" customHeight="1">
      <c r="A38" s="2" t="s">
        <v>111</v>
      </c>
      <c r="B38" s="2" t="s">
        <v>118</v>
      </c>
      <c r="C38" s="2" t="s">
        <v>119</v>
      </c>
      <c r="D38" s="2" t="s">
        <v>36</v>
      </c>
      <c r="E38" s="3">
        <f>9326.75+IF(AND(F37&lt;&gt;"",G37&lt;&gt;""),H37,0)</f>
      </c>
      <c r="F38" s="12"/>
      <c r="G38" s="11"/>
      <c r="H38" s="3">
        <f>E38-IF(F38="",0,F38)-IF(G38="",0,G38)</f>
      </c>
      <c r="I38" s="12"/>
    </row>
    <row r="39" ht="21.0" customHeight="1">
      <c r="A39" s="2" t="s">
        <v>120</v>
      </c>
      <c r="B39" s="2" t="s">
        <v>121</v>
      </c>
      <c r="C39" s="2" t="s">
        <v>122</v>
      </c>
      <c r="D39" s="2" t="s">
        <v>36</v>
      </c>
      <c r="E39" s="3">
        <f>9326.75+IF(AND(F38&lt;&gt;"",G38&lt;&gt;""),H38,0)</f>
      </c>
      <c r="F39" s="12"/>
      <c r="G39" s="12"/>
      <c r="H39" s="3">
        <f>E39-IF(F39="",0,F39)-IF(G39="",0,G39)</f>
      </c>
      <c r="I39" s="12"/>
    </row>
    <row r="40" ht="21.0" customHeight="1">
      <c r="A40" s="2" t="s">
        <v>120</v>
      </c>
      <c r="B40" s="2" t="s">
        <v>123</v>
      </c>
      <c r="C40" s="2" t="s">
        <v>124</v>
      </c>
      <c r="D40" s="2" t="s">
        <v>36</v>
      </c>
      <c r="E40" s="3">
        <f>9326.75+IF(AND(F39&lt;&gt;"",G39&lt;&gt;""),H39,0)</f>
      </c>
      <c r="F40" s="12"/>
      <c r="G40" s="12"/>
      <c r="H40" s="3">
        <f>E40-IF(F40="",0,F40)-IF(G40="",0,G40)</f>
      </c>
      <c r="I40" s="12"/>
    </row>
    <row r="41" ht="21.0" customHeight="1">
      <c r="A41" s="2" t="s">
        <v>120</v>
      </c>
      <c r="B41" s="2" t="s">
        <v>125</v>
      </c>
      <c r="C41" s="2" t="s">
        <v>126</v>
      </c>
      <c r="D41" s="2" t="s">
        <v>36</v>
      </c>
      <c r="E41" s="3">
        <f>9326.75+IF(AND(F40&lt;&gt;"",G40&lt;&gt;""),H40,0)</f>
      </c>
      <c r="F41" s="12"/>
      <c r="G41" s="12"/>
      <c r="H41" s="3">
        <f>E41-IF(F41="",0,F41)-IF(G41="",0,G41)</f>
      </c>
      <c r="I41" s="12"/>
    </row>
    <row r="42" ht="21.0" customHeight="1">
      <c r="A42" s="2" t="s">
        <v>120</v>
      </c>
      <c r="B42" s="2" t="s">
        <v>127</v>
      </c>
      <c r="C42" s="2" t="s">
        <v>128</v>
      </c>
      <c r="D42" s="2" t="s">
        <v>36</v>
      </c>
      <c r="E42" s="3">
        <f>9326.75+IF(AND(F41&lt;&gt;"",G41&lt;&gt;""),H41,0)</f>
      </c>
      <c r="F42" s="12"/>
      <c r="G42" s="12"/>
      <c r="H42" s="3">
        <f>E42-IF(F42="",0,F42)-IF(G42="",0,G42)</f>
      </c>
      <c r="I42" s="12"/>
    </row>
    <row r="43" ht="21.0" customHeight="1">
      <c r="A43" s="2" t="s">
        <v>120</v>
      </c>
      <c r="B43" s="2" t="s">
        <v>129</v>
      </c>
      <c r="C43" s="2" t="s">
        <v>130</v>
      </c>
      <c r="D43" s="2" t="s">
        <v>36</v>
      </c>
      <c r="E43" s="3">
        <f>9326.75+IF(AND(F42&lt;&gt;"",G42&lt;&gt;""),H42,0)</f>
      </c>
      <c r="F43" s="12"/>
      <c r="G43" s="12"/>
      <c r="H43" s="3">
        <f>E43-IF(F43="",0,F43)-IF(G43="",0,G43)</f>
      </c>
      <c r="I43" s="12"/>
    </row>
    <row r="44" ht="21.0" customHeight="1">
      <c r="A44" s="9"/>
      <c r="B44" s="9"/>
      <c r="C44" s="9"/>
      <c r="D44" s="2"/>
      <c r="E44" s="3">
        <f>9326.75+IF(AND(F43&lt;&gt;"",G43&lt;&gt;""),H43,0)</f>
      </c>
      <c r="F44" s="9"/>
      <c r="G44" s="9"/>
      <c r="H44" s="3">
        <f>E44-IF(F44="",0,F44)-IF(G44="",0,G44)</f>
      </c>
      <c r="I44" s="12"/>
    </row>
    <row r="45" ht="21.0" customHeight="1">
      <c r="A45" s="9"/>
      <c r="B45" s="9"/>
      <c r="C45" s="9"/>
      <c r="D45" s="2"/>
      <c r="E45" s="3">
        <f>9326.75+IF(AND(F44&lt;&gt;"",G44&lt;&gt;""),H44,0)</f>
      </c>
      <c r="F45" s="9"/>
      <c r="G45" s="9"/>
      <c r="H45" s="3">
        <f>E45-IF(F45="",0,F45)-IF(G45="",0,G45)</f>
      </c>
      <c r="I45" s="12"/>
    </row>
    <row r="46" ht="21.0" customHeight="1">
      <c r="A46" s="9"/>
      <c r="B46" s="9"/>
      <c r="C46" s="9"/>
      <c r="D46" s="2"/>
      <c r="E46" s="3">
        <f>9326.75+IF(AND(F45&lt;&gt;"",G45&lt;&gt;""),H45,0)</f>
      </c>
      <c r="F46" s="9"/>
      <c r="G46" s="9"/>
      <c r="H46" s="3">
        <f>E46-IF(F46="",0,F46)-IF(G46="",0,G46)</f>
      </c>
      <c r="I46" s="12"/>
    </row>
    <row r="47" ht="21.0" customHeight="1">
      <c r="A47" s="9"/>
      <c r="B47" s="9"/>
      <c r="C47" s="9"/>
      <c r="D47" s="2"/>
      <c r="E47" s="3">
        <f>9326.75+IF(AND(F46&lt;&gt;"",G46&lt;&gt;""),H46,0)</f>
      </c>
      <c r="F47" s="9"/>
      <c r="G47" s="9"/>
      <c r="H47" s="3">
        <f>E47-IF(F47="",0,F47)-IF(G47="",0,G47)</f>
      </c>
      <c r="I47" s="12"/>
    </row>
    <row r="48" ht="21.0" customHeight="1">
      <c r="A48" s="9"/>
      <c r="B48" s="9"/>
      <c r="C48" s="9"/>
      <c r="D48" s="2"/>
      <c r="E48" s="3">
        <f>9326.75+IF(AND(F47&lt;&gt;"",G47&lt;&gt;""),H47,0)</f>
      </c>
      <c r="F48" s="9"/>
      <c r="G48" s="9"/>
      <c r="H48" s="3">
        <f>E48-IF(F48="",0,F48)-IF(G48="",0,G48)</f>
      </c>
      <c r="I48" s="12"/>
    </row>
    <row r="49" ht="21.0" customHeight="1">
      <c r="A49" s="9"/>
      <c r="B49" s="9"/>
      <c r="C49" s="9"/>
      <c r="D49" s="2"/>
      <c r="E49" s="3">
        <f>9326.75+IF(AND(F48&lt;&gt;"",G48&lt;&gt;""),H48,0)</f>
      </c>
      <c r="F49" s="9"/>
      <c r="G49" s="9"/>
      <c r="H49" s="3">
        <f>E49-IF(F49="",0,F49)-IF(G49="",0,G49)</f>
      </c>
      <c r="I49" s="12"/>
    </row>
    <row r="50" ht="21.0" customHeight="1">
      <c r="A50" s="9"/>
      <c r="B50" s="9"/>
      <c r="C50" s="9"/>
      <c r="D50" s="2"/>
      <c r="E50" s="3">
        <f>9326.75+IF(AND(F49&lt;&gt;"",G49&lt;&gt;""),H49,0)</f>
      </c>
      <c r="F50" s="9"/>
      <c r="G50" s="9"/>
      <c r="H50" s="3">
        <f>E50-IF(F50="",0,F50)-IF(G50="",0,G50)</f>
      </c>
      <c r="I50" s="12"/>
    </row>
    <row r="51" ht="21.0" customHeight="1">
      <c r="A51" s="9"/>
      <c r="B51" s="9"/>
      <c r="C51" s="9"/>
      <c r="D51" s="2"/>
      <c r="E51" s="3">
        <f>9326.75+IF(AND(F50&lt;&gt;"",G50&lt;&gt;""),H50,0)</f>
      </c>
      <c r="F51" s="9"/>
      <c r="G51" s="9"/>
      <c r="H51" s="3">
        <f>E51-IF(F51="",0,F51)-IF(G51="",0,G51)</f>
      </c>
      <c r="I51" s="12"/>
    </row>
    <row r="52" ht="21.0" customHeight="1">
      <c r="A52" s="9"/>
      <c r="B52" s="9"/>
      <c r="C52" s="9"/>
      <c r="D52" s="2"/>
      <c r="E52" s="3">
        <f>9326.75+IF(AND(F51&lt;&gt;"",G51&lt;&gt;""),H51,0)</f>
      </c>
      <c r="F52" s="9"/>
      <c r="G52" s="9"/>
      <c r="H52" s="3">
        <f>E52-IF(F52="",0,F52)-IF(G52="",0,G52)</f>
      </c>
      <c r="I52" s="12"/>
    </row>
    <row r="53" ht="21.0" customHeight="1">
      <c r="A53" s="9"/>
      <c r="B53" s="9"/>
      <c r="C53" s="9"/>
      <c r="D53" s="2"/>
      <c r="E53" s="3">
        <f>9326.75+IF(AND(F52&lt;&gt;"",G52&lt;&gt;""),H52,0)</f>
      </c>
      <c r="F53" s="9"/>
      <c r="G53" s="9"/>
      <c r="H53" s="3">
        <f>E53-IF(F53="",0,F53)-IF(G53="",0,G53)</f>
      </c>
      <c r="I53" s="12"/>
    </row>
    <row r="54" ht="21.0" customHeight="1">
      <c r="A54" s="9"/>
      <c r="B54" s="9"/>
      <c r="C54" s="9"/>
      <c r="D54" s="2"/>
      <c r="E54" s="3">
        <f>9326.75+IF(AND(F53&lt;&gt;"",G53&lt;&gt;""),H53,0)</f>
      </c>
      <c r="F54" s="9"/>
      <c r="G54" s="9"/>
      <c r="H54" s="3">
        <f>E54-IF(F54="",0,F54)-IF(G54="",0,G54)</f>
      </c>
      <c r="I54" s="12"/>
    </row>
    <row r="55" ht="21.0" customHeight="1">
      <c r="A55" s="9"/>
      <c r="B55" s="9"/>
      <c r="C55" s="9"/>
      <c r="D55" s="2"/>
      <c r="E55" s="3">
        <f>9326.75+IF(AND(F54&lt;&gt;"",G54&lt;&gt;""),H54,0)</f>
      </c>
      <c r="F55" s="9"/>
      <c r="G55" s="9"/>
      <c r="H55" s="3">
        <f>E55-IF(F55="",0,F55)-IF(G55="",0,G55)</f>
      </c>
      <c r="I55" s="12"/>
    </row>
    <row r="56" ht="21.0" customHeight="1">
      <c r="A56" s="9"/>
      <c r="B56" s="9"/>
      <c r="C56" s="9"/>
      <c r="D56" s="2"/>
      <c r="E56" s="3">
        <f>9326.75+IF(AND(F55&lt;&gt;"",G55&lt;&gt;""),H55,0)</f>
      </c>
      <c r="F56" s="9"/>
      <c r="G56" s="9"/>
      <c r="H56" s="3">
        <f>E56-IF(F56="",0,F56)-IF(G56="",0,G56)</f>
      </c>
      <c r="I56" s="12"/>
    </row>
    <row r="57" ht="21.0" customHeight="1">
      <c r="A57" s="9"/>
      <c r="B57" s="9"/>
      <c r="C57" s="9"/>
      <c r="D57" s="2"/>
      <c r="E57" s="3">
        <f>9326.75+IF(AND(F56&lt;&gt;"",G56&lt;&gt;""),H56,0)</f>
      </c>
      <c r="F57" s="9"/>
      <c r="G57" s="9"/>
      <c r="H57" s="3">
        <f>E57-IF(F57="",0,F57)-IF(G57="",0,G57)</f>
      </c>
      <c r="I57" s="12"/>
    </row>
    <row r="58" ht="21.0" customHeight="1">
      <c r="A58" s="9"/>
      <c r="B58" s="9"/>
      <c r="C58" s="9"/>
      <c r="D58" s="2"/>
      <c r="E58" s="3">
        <f>9326.75+IF(AND(F57&lt;&gt;"",G57&lt;&gt;""),H57,0)</f>
      </c>
      <c r="F58" s="9"/>
      <c r="G58" s="9"/>
      <c r="H58" s="3">
        <f>E58-IF(F58="",0,F58)-IF(G58="",0,G58)</f>
      </c>
      <c r="I58" s="12"/>
    </row>
    <row r="59" ht="21.0" customHeight="1">
      <c r="A59" s="9"/>
      <c r="B59" s="9"/>
      <c r="C59" s="9"/>
      <c r="D59" s="2"/>
      <c r="E59" s="3">
        <f>9326.75+IF(AND(F58&lt;&gt;"",G58&lt;&gt;""),H58,0)</f>
      </c>
      <c r="F59" s="9"/>
      <c r="G59" s="9"/>
      <c r="H59" s="3">
        <f>E59-IF(F59="",0,F59)-IF(G59="",0,G59)</f>
      </c>
      <c r="I59" s="12"/>
    </row>
    <row r="60" ht="21.0" customHeight="1">
      <c r="A60" s="9"/>
      <c r="B60" s="9"/>
      <c r="C60" s="9"/>
      <c r="D60" s="2"/>
      <c r="E60" s="3">
        <f>9326.75+IF(AND(F59&lt;&gt;"",G59&lt;&gt;""),H59,0)</f>
      </c>
      <c r="F60" s="9"/>
      <c r="G60" s="9"/>
      <c r="H60" s="3">
        <f>E60-IF(F60="",0,F60)-IF(G60="",0,G60)</f>
      </c>
      <c r="I60" s="12"/>
    </row>
    <row r="61" ht="21.0" customHeight="1">
      <c r="A61" s="9"/>
      <c r="B61" s="9"/>
      <c r="C61" s="9"/>
      <c r="D61" s="2"/>
      <c r="E61" s="3">
        <f>9326.75+IF(AND(F60&lt;&gt;"",G60&lt;&gt;""),H60,0)</f>
      </c>
      <c r="F61" s="9"/>
      <c r="G61" s="9"/>
      <c r="H61" s="3">
        <f>E61-IF(F61="",0,F61)-IF(G61="",0,G61)</f>
      </c>
      <c r="I61" s="12"/>
    </row>
    <row r="62" ht="21.0" customHeight="1">
      <c r="A62" s="9"/>
      <c r="B62" s="9"/>
      <c r="C62" s="9"/>
      <c r="D62" s="2"/>
      <c r="E62" s="3">
        <f>9326.75+IF(AND(F61&lt;&gt;"",G61&lt;&gt;""),H61,0)</f>
      </c>
      <c r="F62" s="9"/>
      <c r="G62" s="9"/>
      <c r="H62" s="3">
        <f>E62-IF(F62="",0,F62)-IF(G62="",0,G62)</f>
      </c>
      <c r="I62" s="12"/>
    </row>
    <row r="63" ht="21.0" customHeight="1">
      <c r="A63" s="9"/>
      <c r="B63" s="9"/>
      <c r="C63" s="9"/>
      <c r="D63" s="2"/>
      <c r="E63" s="3">
        <f>9326.75+IF(AND(F62&lt;&gt;"",G62&lt;&gt;""),H62,0)</f>
      </c>
      <c r="F63" s="9"/>
      <c r="G63" s="9"/>
      <c r="H63" s="3">
        <f>E63-IF(F63="",0,F63)-IF(G63="",0,G63)</f>
      </c>
      <c r="I63" s="12"/>
    </row>
    <row r="64" ht="21.0" customHeight="1">
      <c r="A64" s="9"/>
      <c r="B64" s="9"/>
      <c r="C64" s="9"/>
      <c r="D64" s="2"/>
      <c r="E64" s="3">
        <f>9326.75+IF(AND(F63&lt;&gt;"",G63&lt;&gt;""),H63,0)</f>
      </c>
      <c r="F64" s="9"/>
      <c r="G64" s="9"/>
      <c r="H64" s="3">
        <f>E64-IF(F64="",0,F64)-IF(G64="",0,G64)</f>
      </c>
      <c r="I64" s="12"/>
    </row>
    <row r="65" ht="21.0" customHeight="1">
      <c r="A65" s="9"/>
      <c r="B65" s="9"/>
      <c r="C65" s="9"/>
      <c r="D65" s="2"/>
      <c r="E65" s="3">
        <f>9326.75+IF(AND(F64&lt;&gt;"",G64&lt;&gt;""),H64,0)</f>
      </c>
      <c r="F65" s="9"/>
      <c r="G65" s="9"/>
      <c r="H65" s="3">
        <f>E65-IF(F65="",0,F65)-IF(G65="",0,G65)</f>
      </c>
      <c r="I65" s="12"/>
    </row>
    <row r="66" ht="21.0" customHeight="1">
      <c r="A66" s="9"/>
      <c r="B66" s="9"/>
      <c r="C66" s="9"/>
      <c r="D66" s="2"/>
      <c r="E66" s="3">
        <f>9326.75+IF(AND(F65&lt;&gt;"",G65&lt;&gt;""),H65,0)</f>
      </c>
      <c r="F66" s="9"/>
      <c r="G66" s="9"/>
      <c r="H66" s="3">
        <f>E66-IF(F66="",0,F66)-IF(G66="",0,G66)</f>
      </c>
      <c r="I66" s="12"/>
    </row>
    <row r="67" ht="21.0" customHeight="1">
      <c r="A67" s="9"/>
      <c r="B67" s="9"/>
      <c r="C67" s="9"/>
      <c r="D67" s="2"/>
      <c r="E67" s="3">
        <f>9326.75+IF(AND(F66&lt;&gt;"",G66&lt;&gt;""),H66,0)</f>
      </c>
      <c r="F67" s="9"/>
      <c r="G67" s="9"/>
      <c r="H67" s="3">
        <f>E67-IF(F67="",0,F67)-IF(G67="",0,G67)</f>
      </c>
      <c r="I67" s="12"/>
    </row>
    <row r="68" ht="21.0" customHeight="1">
      <c r="A68" s="9"/>
      <c r="B68" s="9"/>
      <c r="C68" s="9"/>
      <c r="D68" s="2"/>
      <c r="E68" s="3">
        <f>9326.75+IF(AND(F67&lt;&gt;"",G67&lt;&gt;""),H67,0)</f>
      </c>
      <c r="F68" s="9"/>
      <c r="G68" s="9"/>
      <c r="H68" s="3">
        <f>E68-IF(F68="",0,F68)-IF(G68="",0,G68)</f>
      </c>
      <c r="I68" s="12"/>
    </row>
    <row r="69" ht="21.0" customHeight="1">
      <c r="A69" s="9"/>
      <c r="B69" s="9"/>
      <c r="C69" s="9"/>
      <c r="D69" s="2"/>
      <c r="E69" s="3">
        <f>9326.75+IF(AND(F68&lt;&gt;"",G68&lt;&gt;""),H68,0)</f>
      </c>
      <c r="F69" s="9"/>
      <c r="G69" s="9"/>
      <c r="H69" s="3">
        <f>E69-IF(F69="",0,F69)-IF(G69="",0,G69)</f>
      </c>
      <c r="I69" s="12"/>
    </row>
    <row r="70" ht="21.0" customHeight="1">
      <c r="A70" s="9"/>
      <c r="B70" s="9"/>
      <c r="C70" s="9"/>
      <c r="D70" s="2"/>
      <c r="E70" s="3">
        <f>9326.75+IF(AND(F69&lt;&gt;"",G69&lt;&gt;""),H69,0)</f>
      </c>
      <c r="F70" s="9"/>
      <c r="G70" s="9"/>
      <c r="H70" s="3">
        <f>E70-IF(F70="",0,F70)-IF(G70="",0,G70)</f>
      </c>
      <c r="I70" s="12"/>
    </row>
    <row r="71" ht="21.0" customHeight="1">
      <c r="A71" s="9"/>
      <c r="B71" s="9"/>
      <c r="C71" s="9"/>
      <c r="D71" s="2"/>
      <c r="E71" s="3">
        <f>9326.75+IF(AND(F70&lt;&gt;"",G70&lt;&gt;""),H70,0)</f>
      </c>
      <c r="F71" s="9"/>
      <c r="G71" s="9"/>
      <c r="H71" s="3">
        <f>E71-IF(F71="",0,F71)-IF(G71="",0,G71)</f>
      </c>
      <c r="I71" s="12"/>
    </row>
    <row r="72" ht="21.0" customHeight="1">
      <c r="A72" s="9"/>
      <c r="B72" s="9"/>
      <c r="C72" s="9"/>
      <c r="D72" s="2"/>
      <c r="E72" s="3">
        <f>9326.75+IF(AND(F71&lt;&gt;"",G71&lt;&gt;""),H71,0)</f>
      </c>
      <c r="F72" s="9"/>
      <c r="G72" s="9"/>
      <c r="H72" s="3">
        <f>E72-IF(F72="",0,F72)-IF(G72="",0,G72)</f>
      </c>
      <c r="I72" s="12"/>
    </row>
    <row r="73" ht="21.0" customHeight="1">
      <c r="A73" s="9"/>
      <c r="B73" s="9"/>
      <c r="C73" s="9"/>
      <c r="D73" s="2"/>
      <c r="E73" s="3">
        <f>9326.75+IF(AND(F72&lt;&gt;"",G72&lt;&gt;""),H72,0)</f>
      </c>
      <c r="F73" s="9"/>
      <c r="G73" s="9"/>
      <c r="H73" s="3">
        <f>E73-IF(F73="",0,F73)-IF(G73="",0,G73)</f>
      </c>
      <c r="I73" s="12"/>
    </row>
    <row r="74" ht="21.0" customHeight="1">
      <c r="A74" s="9"/>
      <c r="B74" s="9"/>
      <c r="C74" s="9"/>
      <c r="D74" s="2"/>
      <c r="E74" s="3">
        <f>9326.75+IF(AND(F73&lt;&gt;"",G73&lt;&gt;""),H73,0)</f>
      </c>
      <c r="F74" s="9"/>
      <c r="G74" s="9"/>
      <c r="H74" s="3">
        <f>E74-IF(F74="",0,F74)-IF(G74="",0,G74)</f>
      </c>
      <c r="I74" s="12"/>
    </row>
    <row r="75" ht="21.0" customHeight="1">
      <c r="A75" s="9"/>
      <c r="B75" s="9"/>
      <c r="C75" s="9"/>
      <c r="D75" s="2"/>
      <c r="E75" s="3">
        <f>9326.75+IF(AND(F74&lt;&gt;"",G74&lt;&gt;""),H74,0)</f>
      </c>
      <c r="F75" s="9"/>
      <c r="G75" s="9"/>
      <c r="H75" s="3">
        <f>E75-IF(F75="",0,F75)-IF(G75="",0,G75)</f>
      </c>
      <c r="I75" s="12"/>
    </row>
    <row r="76" ht="21.0" customHeight="1">
      <c r="A76" s="9"/>
      <c r="B76" s="9"/>
      <c r="C76" s="9"/>
      <c r="D76" s="2"/>
      <c r="E76" s="3">
        <f>9326.75+IF(AND(F75&lt;&gt;"",G75&lt;&gt;""),H75,0)</f>
      </c>
      <c r="F76" s="9"/>
      <c r="G76" s="9"/>
      <c r="H76" s="3">
        <f>E76-IF(F76="",0,F76)-IF(G76="",0,G76)</f>
      </c>
      <c r="I76" s="12"/>
    </row>
    <row r="77" ht="21.0" customHeight="1">
      <c r="A77" s="9"/>
      <c r="B77" s="9"/>
      <c r="C77" s="9"/>
      <c r="D77" s="2"/>
      <c r="E77" s="3">
        <f>9326.75+IF(AND(F76&lt;&gt;"",G76&lt;&gt;""),H76,0)</f>
      </c>
      <c r="F77" s="9"/>
      <c r="G77" s="9"/>
      <c r="H77" s="3">
        <f>E77-IF(F77="",0,F77)-IF(G77="",0,G77)</f>
      </c>
      <c r="I77" s="12"/>
    </row>
    <row r="78" ht="21.0" customHeight="1">
      <c r="A78" s="9"/>
      <c r="B78" s="9"/>
      <c r="C78" s="9"/>
      <c r="D78" s="2"/>
      <c r="E78" s="3">
        <f>9326.75+IF(AND(F77&lt;&gt;"",G77&lt;&gt;""),H77,0)</f>
      </c>
      <c r="F78" s="9"/>
      <c r="G78" s="9"/>
      <c r="H78" s="3">
        <f>E78-IF(F78="",0,F78)-IF(G78="",0,G78)</f>
      </c>
      <c r="I78" s="12"/>
    </row>
    <row r="79" ht="21.0" customHeight="1">
      <c r="A79" s="9"/>
      <c r="B79" s="9"/>
      <c r="C79" s="9"/>
      <c r="D79" s="2"/>
      <c r="E79" s="3">
        <f>9326.75+IF(AND(F78&lt;&gt;"",G78&lt;&gt;""),H78,0)</f>
      </c>
      <c r="F79" s="9"/>
      <c r="G79" s="9"/>
      <c r="H79" s="3">
        <f>E79-IF(F79="",0,F79)-IF(G79="",0,G79)</f>
      </c>
      <c r="I79" s="12"/>
    </row>
    <row r="80" ht="21.0" customHeight="1">
      <c r="A80" s="9"/>
      <c r="B80" s="9"/>
      <c r="C80" s="9"/>
      <c r="D80" s="2"/>
      <c r="E80" s="3">
        <f>9326.75+IF(AND(F79&lt;&gt;"",G79&lt;&gt;""),H79,0)</f>
      </c>
      <c r="F80" s="9"/>
      <c r="G80" s="9"/>
      <c r="H80" s="3">
        <f>E80-IF(F80="",0,F80)-IF(G80="",0,G80)</f>
      </c>
      <c r="I80" s="12"/>
    </row>
    <row r="81" ht="21.0" customHeight="1">
      <c r="A81" s="9"/>
      <c r="B81" s="9"/>
      <c r="C81" s="9"/>
      <c r="D81" s="2"/>
      <c r="E81" s="3">
        <f>9326.75+IF(AND(F80&lt;&gt;"",G80&lt;&gt;""),H80,0)</f>
      </c>
      <c r="F81" s="9"/>
      <c r="G81" s="9"/>
      <c r="H81" s="3">
        <f>E81-IF(F81="",0,F81)-IF(G81="",0,G81)</f>
      </c>
      <c r="I81" s="12"/>
    </row>
    <row r="82" ht="21.0" customHeight="1">
      <c r="A82" s="9"/>
      <c r="B82" s="9"/>
      <c r="C82" s="9"/>
      <c r="D82" s="2"/>
      <c r="E82" s="3">
        <f>9326.75+IF(AND(F81&lt;&gt;"",G81&lt;&gt;""),H81,0)</f>
      </c>
      <c r="F82" s="9"/>
      <c r="G82" s="9"/>
      <c r="H82" s="3">
        <f>E82-IF(F82="",0,F82)-IF(G82="",0,G82)</f>
      </c>
      <c r="I82" s="12"/>
    </row>
    <row r="83" ht="21.0" customHeight="1">
      <c r="A83" s="9"/>
      <c r="B83" s="9"/>
      <c r="C83" s="9"/>
      <c r="D83" s="2"/>
      <c r="E83" s="3">
        <f>9326.75+IF(AND(F82&lt;&gt;"",G82&lt;&gt;""),H82,0)</f>
      </c>
      <c r="F83" s="9"/>
      <c r="G83" s="9"/>
      <c r="H83" s="3">
        <f>E83-IF(F83="",0,F83)-IF(G83="",0,G83)</f>
      </c>
      <c r="I83" s="12"/>
    </row>
    <row r="84" ht="21.0" customHeight="1">
      <c r="A84" s="9"/>
      <c r="B84" s="9"/>
      <c r="C84" s="9"/>
      <c r="D84" s="2"/>
      <c r="E84" s="3">
        <f>9326.75+IF(AND(F83&lt;&gt;"",G83&lt;&gt;""),H83,0)</f>
      </c>
      <c r="F84" s="9"/>
      <c r="G84" s="9"/>
      <c r="H84" s="3">
        <f>E84-IF(F84="",0,F84)-IF(G84="",0,G84)</f>
      </c>
      <c r="I84" s="12"/>
    </row>
    <row r="85" ht="21.0" customHeight="1">
      <c r="A85" s="9"/>
      <c r="B85" s="9"/>
      <c r="C85" s="9"/>
      <c r="D85" s="2"/>
      <c r="E85" s="3">
        <f>9326.75+IF(AND(F84&lt;&gt;"",G84&lt;&gt;""),H84,0)</f>
      </c>
      <c r="F85" s="9"/>
      <c r="G85" s="9"/>
      <c r="H85" s="3">
        <f>E85-IF(F85="",0,F85)-IF(G85="",0,G85)</f>
      </c>
      <c r="I85" s="12"/>
    </row>
    <row r="86" ht="21.0" customHeight="1">
      <c r="A86" s="9"/>
      <c r="B86" s="9"/>
      <c r="C86" s="9"/>
      <c r="D86" s="2"/>
      <c r="E86" s="3">
        <f>9326.75+IF(AND(F85&lt;&gt;"",G85&lt;&gt;""),H85,0)</f>
      </c>
      <c r="F86" s="9"/>
      <c r="G86" s="9"/>
      <c r="H86" s="3">
        <f>E86-IF(F86="",0,F86)-IF(G86="",0,G86)</f>
      </c>
      <c r="I86" s="12"/>
    </row>
    <row r="87" ht="21.0" customHeight="1">
      <c r="A87" s="9"/>
      <c r="B87" s="9"/>
      <c r="C87" s="9"/>
      <c r="D87" s="2"/>
      <c r="E87" s="3">
        <f>9326.75+IF(AND(F86&lt;&gt;"",G86&lt;&gt;""),H86,0)</f>
      </c>
      <c r="F87" s="9"/>
      <c r="G87" s="9"/>
      <c r="H87" s="3">
        <f>E87-IF(F87="",0,F87)-IF(G87="",0,G87)</f>
      </c>
      <c r="I87" s="12"/>
    </row>
    <row r="88" ht="21.0" customHeight="1">
      <c r="A88" s="9"/>
      <c r="B88" s="9"/>
      <c r="C88" s="9"/>
      <c r="D88" s="2"/>
      <c r="E88" s="3">
        <f>9326.75+IF(AND(F87&lt;&gt;"",G87&lt;&gt;""),H87,0)</f>
      </c>
      <c r="F88" s="9"/>
      <c r="G88" s="9"/>
      <c r="H88" s="3">
        <f>E88-IF(F88="",0,F88)-IF(G88="",0,G88)</f>
      </c>
      <c r="I88" s="12"/>
    </row>
    <row r="89" ht="21.0" customHeight="1">
      <c r="A89" s="9"/>
      <c r="B89" s="9"/>
      <c r="C89" s="9"/>
      <c r="D89" s="2"/>
      <c r="E89" s="3">
        <f>9326.75+IF(AND(F88&lt;&gt;"",G88&lt;&gt;""),H88,0)</f>
      </c>
      <c r="F89" s="9"/>
      <c r="G89" s="9"/>
      <c r="H89" s="3">
        <f>E89-IF(F89="",0,F89)-IF(G89="",0,G89)</f>
      </c>
      <c r="I89" s="12"/>
    </row>
    <row r="90" ht="21.0" customHeight="1">
      <c r="A90" s="9"/>
      <c r="B90" s="9"/>
      <c r="C90" s="9"/>
      <c r="D90" s="2"/>
      <c r="E90" s="3">
        <f>9326.75+IF(AND(F89&lt;&gt;"",G89&lt;&gt;""),H89,0)</f>
      </c>
      <c r="F90" s="9"/>
      <c r="G90" s="9"/>
      <c r="H90" s="3">
        <f>E90-IF(F90="",0,F90)-IF(G90="",0,G90)</f>
      </c>
      <c r="I90" s="12"/>
    </row>
    <row r="91" ht="21.0" customHeight="1">
      <c r="A91" s="9"/>
      <c r="B91" s="9"/>
      <c r="C91" s="9"/>
      <c r="D91" s="2"/>
      <c r="E91" s="3">
        <f>9326.75+IF(AND(F90&lt;&gt;"",G90&lt;&gt;""),H90,0)</f>
      </c>
      <c r="F91" s="9"/>
      <c r="G91" s="9"/>
      <c r="H91" s="3">
        <f>E91-IF(F91="",0,F91)-IF(G91="",0,G91)</f>
      </c>
      <c r="I91" s="12"/>
    </row>
    <row r="92" ht="21.0" customHeight="1">
      <c r="A92" s="9"/>
      <c r="B92" s="9"/>
      <c r="C92" s="9"/>
      <c r="D92" s="2"/>
      <c r="E92" s="3">
        <f>9326.75+IF(AND(F91&lt;&gt;"",G91&lt;&gt;""),H91,0)</f>
      </c>
      <c r="F92" s="9"/>
      <c r="G92" s="9"/>
      <c r="H92" s="3">
        <f>E92-IF(F92="",0,F92)-IF(G92="",0,G92)</f>
      </c>
      <c r="I92" s="12"/>
    </row>
    <row r="93" ht="21.0" customHeight="1">
      <c r="A93" s="9"/>
      <c r="B93" s="9"/>
      <c r="C93" s="9"/>
      <c r="D93" s="2"/>
      <c r="E93" s="3">
        <f>9326.75+IF(AND(F92&lt;&gt;"",G92&lt;&gt;""),H92,0)</f>
      </c>
      <c r="F93" s="9"/>
      <c r="G93" s="9"/>
      <c r="H93" s="3">
        <f>E93-IF(F93="",0,F93)-IF(G93="",0,G93)</f>
      </c>
      <c r="I93" s="12"/>
    </row>
    <row r="94" ht="21.0" customHeight="1">
      <c r="A94" s="9"/>
      <c r="B94" s="9"/>
      <c r="C94" s="9"/>
      <c r="D94" s="2"/>
      <c r="E94" s="3">
        <f>9326.75+IF(AND(F93&lt;&gt;"",G93&lt;&gt;""),H93,0)</f>
      </c>
      <c r="F94" s="9"/>
      <c r="G94" s="9"/>
      <c r="H94" s="3">
        <f>E94-IF(F94="",0,F94)-IF(G94="",0,G94)</f>
      </c>
      <c r="I94" s="12"/>
    </row>
    <row r="95" ht="21.0" customHeight="1">
      <c r="A95" s="9"/>
      <c r="B95" s="9"/>
      <c r="C95" s="9"/>
      <c r="D95" s="2"/>
      <c r="E95" s="3">
        <f>9326.75+IF(AND(F94&lt;&gt;"",G94&lt;&gt;""),H94,0)</f>
      </c>
      <c r="F95" s="9"/>
      <c r="G95" s="9"/>
      <c r="H95" s="3">
        <f>E95-IF(F95="",0,F95)-IF(G95="",0,G95)</f>
      </c>
      <c r="I95" s="12"/>
    </row>
    <row r="96" ht="21.0" customHeight="1">
      <c r="A96" s="9"/>
      <c r="B96" s="9"/>
      <c r="C96" s="9"/>
      <c r="D96" s="2"/>
      <c r="E96" s="3">
        <f>9326.75+IF(AND(F95&lt;&gt;"",G95&lt;&gt;""),H95,0)</f>
      </c>
      <c r="F96" s="9"/>
      <c r="G96" s="9"/>
      <c r="H96" s="3">
        <f>E96-IF(F96="",0,F96)-IF(G96="",0,G96)</f>
      </c>
      <c r="I96" s="12"/>
    </row>
    <row r="97" ht="21.0" customHeight="1">
      <c r="A97" s="9"/>
      <c r="B97" s="9"/>
      <c r="C97" s="9"/>
      <c r="D97" s="2"/>
      <c r="E97" s="3">
        <f>9326.75+IF(AND(F96&lt;&gt;"",G96&lt;&gt;""),H96,0)</f>
      </c>
      <c r="F97" s="9"/>
      <c r="G97" s="9"/>
      <c r="H97" s="3">
        <f>E97-IF(F97="",0,F97)-IF(G97="",0,G97)</f>
      </c>
      <c r="I97" s="12"/>
    </row>
    <row r="98" ht="21.0" customHeight="1">
      <c r="A98" s="9"/>
      <c r="B98" s="9"/>
      <c r="C98" s="9"/>
      <c r="D98" s="2"/>
      <c r="E98" s="3">
        <f>9326.75+IF(AND(F97&lt;&gt;"",G97&lt;&gt;""),H97,0)</f>
      </c>
      <c r="F98" s="9"/>
      <c r="G98" s="9"/>
      <c r="H98" s="3">
        <f>E98-IF(F98="",0,F98)-IF(G98="",0,G98)</f>
      </c>
      <c r="I98" s="12"/>
    </row>
    <row r="99" ht="21.0" customHeight="1">
      <c r="A99" s="9"/>
      <c r="B99" s="9"/>
      <c r="C99" s="9"/>
      <c r="D99" s="2"/>
      <c r="E99" s="3">
        <f>9326.75+IF(AND(F98&lt;&gt;"",G98&lt;&gt;""),H98,0)</f>
      </c>
      <c r="F99" s="9"/>
      <c r="G99" s="9"/>
      <c r="H99" s="3">
        <f>E99-IF(F99="",0,F99)-IF(G99="",0,G99)</f>
      </c>
      <c r="I99" s="12"/>
    </row>
    <row r="100" ht="21.0" customHeight="1">
      <c r="A100" s="9"/>
      <c r="B100" s="9"/>
      <c r="C100" s="9"/>
      <c r="D100" s="2"/>
      <c r="E100" s="3">
        <f>9326.75+IF(AND(F99&lt;&gt;"",G99&lt;&gt;""),H99,0)</f>
      </c>
      <c r="F100" s="9"/>
      <c r="G100" s="9"/>
      <c r="H100" s="3">
        <f>E100-IF(F100="",0,F100)-IF(G100="",0,G100)</f>
      </c>
      <c r="I100" s="12"/>
    </row>
    <row r="101" ht="21.0" customHeight="1">
      <c r="A101" s="9"/>
      <c r="B101" s="9"/>
      <c r="C101" s="9"/>
      <c r="D101" s="2"/>
      <c r="E101" s="3">
        <f>9326.75+IF(AND(F100&lt;&gt;"",G100&lt;&gt;""),H100,0)</f>
      </c>
      <c r="F101" s="9"/>
      <c r="G101" s="9"/>
      <c r="H101" s="3">
        <f>E101-IF(F101="",0,F101)-IF(G101="",0,G101)</f>
      </c>
      <c r="I101" s="12"/>
    </row>
    <row r="102" ht="21.0" customHeight="1">
      <c r="A102" s="9"/>
      <c r="B102" s="9"/>
      <c r="C102" s="9"/>
      <c r="D102" s="2"/>
      <c r="E102" s="3">
        <f>9326.75+IF(AND(F101&lt;&gt;"",G101&lt;&gt;""),H101,0)</f>
      </c>
      <c r="F102" s="9"/>
      <c r="G102" s="9"/>
      <c r="H102" s="3">
        <f>E102-IF(F102="",0,F102)-IF(G102="",0,G102)</f>
      </c>
      <c r="I102" s="12"/>
    </row>
    <row r="103" ht="21.0" customHeight="1">
      <c r="A103" s="9"/>
      <c r="B103" s="9"/>
      <c r="C103" s="9"/>
      <c r="D103" s="2"/>
      <c r="E103" s="3">
        <f>9326.75+IF(AND(F102&lt;&gt;"",G102&lt;&gt;""),H102,0)</f>
      </c>
      <c r="F103" s="9"/>
      <c r="G103" s="9"/>
      <c r="H103" s="3">
        <f>E103-IF(F103="",0,F103)-IF(G103="",0,G103)</f>
      </c>
      <c r="I103" s="12"/>
    </row>
    <row r="104" ht="21.0" customHeight="1">
      <c r="A104" s="9"/>
      <c r="B104" s="9"/>
      <c r="C104" s="9"/>
      <c r="D104" s="2"/>
      <c r="E104" s="3">
        <f>9326.75+IF(AND(F103&lt;&gt;"",G103&lt;&gt;""),H103,0)</f>
      </c>
      <c r="F104" s="9"/>
      <c r="G104" s="9"/>
      <c r="H104" s="3">
        <f>E104-IF(F104="",0,F104)-IF(G104="",0,G104)</f>
      </c>
      <c r="I104" s="12"/>
    </row>
    <row r="105" ht="21.0" customHeight="1">
      <c r="A105" s="9"/>
      <c r="B105" s="9"/>
      <c r="C105" s="9"/>
      <c r="D105" s="2"/>
      <c r="E105" s="3">
        <f>9326.75+IF(AND(F104&lt;&gt;"",G104&lt;&gt;""),H104,0)</f>
      </c>
      <c r="F105" s="9"/>
      <c r="G105" s="9"/>
      <c r="H105" s="3">
        <f>E105-IF(F105="",0,F105)-IF(G105="",0,G105)</f>
      </c>
      <c r="I105" s="12"/>
    </row>
    <row r="106" ht="21.0" customHeight="1">
      <c r="A106" s="9"/>
      <c r="B106" s="9"/>
      <c r="C106" s="9"/>
      <c r="D106" s="2"/>
      <c r="E106" s="3">
        <f>9326.75+IF(AND(F105&lt;&gt;"",G105&lt;&gt;""),H105,0)</f>
      </c>
      <c r="F106" s="9"/>
      <c r="G106" s="9"/>
      <c r="H106" s="3">
        <f>E106-IF(F106="",0,F106)-IF(G106="",0,G106)</f>
      </c>
      <c r="I106" s="12"/>
    </row>
    <row r="107" ht="21.0" customHeight="1">
      <c r="A107" s="9"/>
      <c r="B107" s="9"/>
      <c r="C107" s="9"/>
      <c r="D107" s="2"/>
      <c r="E107" s="3">
        <f>9326.75+IF(AND(F106&lt;&gt;"",G106&lt;&gt;""),H106,0)</f>
      </c>
      <c r="F107" s="9"/>
      <c r="G107" s="9"/>
      <c r="H107" s="3">
        <f>E107-IF(F107="",0,F107)-IF(G107="",0,G107)</f>
      </c>
      <c r="I107" s="12"/>
    </row>
    <row r="108" ht="21.0" customHeight="1">
      <c r="A108" s="9"/>
      <c r="B108" s="9"/>
      <c r="C108" s="9"/>
      <c r="D108" s="2"/>
      <c r="E108" s="3">
        <f>9326.75+IF(AND(F107&lt;&gt;"",G107&lt;&gt;""),H107,0)</f>
      </c>
      <c r="F108" s="9"/>
      <c r="G108" s="9"/>
      <c r="H108" s="3">
        <f>E108-IF(F108="",0,F108)-IF(G108="",0,G108)</f>
      </c>
      <c r="I108" s="12"/>
    </row>
    <row r="109" ht="21.0" customHeight="1">
      <c r="A109" s="9"/>
      <c r="B109" s="9"/>
      <c r="C109" s="9"/>
      <c r="D109" s="2"/>
      <c r="E109" s="3">
        <f>9326.75+IF(AND(F108&lt;&gt;"",G108&lt;&gt;""),H108,0)</f>
      </c>
      <c r="F109" s="9"/>
      <c r="G109" s="9"/>
      <c r="H109" s="3">
        <f>E109-IF(F109="",0,F109)-IF(G109="",0,G109)</f>
      </c>
      <c r="I109" s="12"/>
    </row>
    <row r="110" ht="21.0" customHeight="1">
      <c r="A110" s="9"/>
      <c r="B110" s="9"/>
      <c r="C110" s="9"/>
      <c r="D110" s="2"/>
      <c r="E110" s="3">
        <f>9326.75+IF(AND(F109&lt;&gt;"",G109&lt;&gt;""),H109,0)</f>
      </c>
      <c r="F110" s="9"/>
      <c r="G110" s="9"/>
      <c r="H110" s="3">
        <f>E110-IF(F110="",0,F110)-IF(G110="",0,G110)</f>
      </c>
      <c r="I110" s="12"/>
    </row>
    <row r="111" ht="21.0" customHeight="1">
      <c r="A111" s="9"/>
      <c r="B111" s="9"/>
      <c r="C111" s="9"/>
      <c r="D111" s="2"/>
      <c r="E111" s="3">
        <f>9326.75+IF(AND(F110&lt;&gt;"",G110&lt;&gt;""),H110,0)</f>
      </c>
      <c r="F111" s="9"/>
      <c r="G111" s="9"/>
      <c r="H111" s="3">
        <f>E111-IF(F111="",0,F111)-IF(G111="",0,G111)</f>
      </c>
      <c r="I111" s="12"/>
    </row>
    <row r="112" ht="21.0" customHeight="1">
      <c r="A112" s="9"/>
      <c r="B112" s="9"/>
      <c r="C112" s="9"/>
      <c r="D112" s="2"/>
      <c r="E112" s="3">
        <f>9326.75+IF(AND(F111&lt;&gt;"",G111&lt;&gt;""),H111,0)</f>
      </c>
      <c r="F112" s="9"/>
      <c r="G112" s="9"/>
      <c r="H112" s="3">
        <f>E112-IF(F112="",0,F112)-IF(G112="",0,G112)</f>
      </c>
      <c r="I112" s="12"/>
    </row>
    <row r="113" ht="21.0" customHeight="1">
      <c r="A113" s="9"/>
      <c r="B113" s="9"/>
      <c r="C113" s="9"/>
      <c r="D113" s="2"/>
      <c r="E113" s="3">
        <f>9326.75+IF(AND(F112&lt;&gt;"",G112&lt;&gt;""),H112,0)</f>
      </c>
      <c r="F113" s="9"/>
      <c r="G113" s="9"/>
      <c r="H113" s="3">
        <f>E113-IF(F113="",0,F113)-IF(G113="",0,G113)</f>
      </c>
      <c r="I113" s="12"/>
    </row>
    <row r="114" ht="21.0" customHeight="1">
      <c r="A114" s="9"/>
      <c r="B114" s="9"/>
      <c r="C114" s="9"/>
      <c r="D114" s="2"/>
      <c r="E114" s="3">
        <f>9326.75+IF(AND(F113&lt;&gt;"",G113&lt;&gt;""),H113,0)</f>
      </c>
      <c r="F114" s="9"/>
      <c r="G114" s="9"/>
      <c r="H114" s="3">
        <f>E114-IF(F114="",0,F114)-IF(G114="",0,G114)</f>
      </c>
      <c r="I114" s="12"/>
    </row>
    <row r="115" ht="21.0" customHeight="1">
      <c r="A115" s="9"/>
      <c r="B115" s="9"/>
      <c r="C115" s="9"/>
      <c r="D115" s="2"/>
      <c r="E115" s="3">
        <f>9326.75+IF(AND(F114&lt;&gt;"",G114&lt;&gt;""),H114,0)</f>
      </c>
      <c r="F115" s="9"/>
      <c r="G115" s="9"/>
      <c r="H115" s="3">
        <f>E115-IF(F115="",0,F115)-IF(G115="",0,G115)</f>
      </c>
      <c r="I115" s="12"/>
    </row>
    <row r="116" ht="21.0" customHeight="1">
      <c r="A116" s="9"/>
      <c r="B116" s="9"/>
      <c r="C116" s="9"/>
      <c r="D116" s="2"/>
      <c r="E116" s="3">
        <f>9326.75+IF(AND(F115&lt;&gt;"",G115&lt;&gt;""),H115,0)</f>
      </c>
      <c r="F116" s="9"/>
      <c r="G116" s="9"/>
      <c r="H116" s="3">
        <f>E116-IF(F116="",0,F116)-IF(G116="",0,G116)</f>
      </c>
      <c r="I116" s="12"/>
    </row>
    <row r="117" ht="21.0" customHeight="1">
      <c r="A117" s="9"/>
      <c r="B117" s="9"/>
      <c r="C117" s="9"/>
      <c r="D117" s="2"/>
      <c r="E117" s="3">
        <f>9326.75+IF(AND(F116&lt;&gt;"",G116&lt;&gt;""),H116,0)</f>
      </c>
      <c r="F117" s="9"/>
      <c r="G117" s="9"/>
      <c r="H117" s="3">
        <f>E117-IF(F117="",0,F117)-IF(G117="",0,G117)</f>
      </c>
      <c r="I117" s="12"/>
    </row>
    <row r="118" ht="21.0" customHeight="1">
      <c r="A118" s="9"/>
      <c r="B118" s="9"/>
      <c r="C118" s="9"/>
      <c r="D118" s="2"/>
      <c r="E118" s="3">
        <f>9326.75+IF(AND(F117&lt;&gt;"",G117&lt;&gt;""),H117,0)</f>
      </c>
      <c r="F118" s="9"/>
      <c r="G118" s="9"/>
      <c r="H118" s="3">
        <f>E118-IF(F118="",0,F118)-IF(G118="",0,G118)</f>
      </c>
      <c r="I118" s="12"/>
    </row>
    <row r="119" ht="21.0" customHeight="1">
      <c r="A119" s="9"/>
      <c r="B119" s="9"/>
      <c r="C119" s="9"/>
      <c r="D119" s="2"/>
      <c r="E119" s="3">
        <f>9326.75+IF(AND(F118&lt;&gt;"",G118&lt;&gt;""),H118,0)</f>
      </c>
      <c r="F119" s="9"/>
      <c r="G119" s="9"/>
      <c r="H119" s="3">
        <f>E119-IF(F119="",0,F119)-IF(G119="",0,G119)</f>
      </c>
      <c r="I119" s="12"/>
    </row>
    <row r="120" ht="21.0" customHeight="1">
      <c r="A120" s="9"/>
      <c r="B120" s="9"/>
      <c r="C120" s="9"/>
      <c r="D120" s="2"/>
      <c r="E120" s="3">
        <f>9326.75+IF(AND(F119&lt;&gt;"",G119&lt;&gt;""),H119,0)</f>
      </c>
      <c r="F120" s="9"/>
      <c r="G120" s="9"/>
      <c r="H120" s="3">
        <f>E120-IF(F120="",0,F120)-IF(G120="",0,G120)</f>
      </c>
      <c r="I120" s="12"/>
    </row>
    <row r="121" ht="21.0" customHeight="1">
      <c r="A121" s="9"/>
      <c r="B121" s="9"/>
      <c r="C121" s="9"/>
      <c r="D121" s="2"/>
      <c r="E121" s="3">
        <f>9326.75+IF(AND(F120&lt;&gt;"",G120&lt;&gt;""),H120,0)</f>
      </c>
      <c r="F121" s="9"/>
      <c r="G121" s="9"/>
      <c r="H121" s="3">
        <f>E121-IF(F121="",0,F121)-IF(G121="",0,G121)</f>
      </c>
      <c r="I121" s="12"/>
    </row>
    <row r="122" ht="21.0" customHeight="1">
      <c r="A122" s="9"/>
      <c r="B122" s="9"/>
      <c r="C122" s="9"/>
      <c r="D122" s="2"/>
      <c r="E122" s="3">
        <f>9326.75+IF(AND(F121&lt;&gt;"",G121&lt;&gt;""),H121,0)</f>
      </c>
      <c r="F122" s="9"/>
      <c r="G122" s="9"/>
      <c r="H122" s="3">
        <f>E122-IF(F122="",0,F122)-IF(G122="",0,G122)</f>
      </c>
      <c r="I122" s="12"/>
    </row>
    <row r="123" ht="21.0" customHeight="1">
      <c r="A123" s="9"/>
      <c r="B123" s="9"/>
      <c r="C123" s="9"/>
      <c r="D123" s="2"/>
      <c r="E123" s="3">
        <f>9326.75+IF(AND(F122&lt;&gt;"",G122&lt;&gt;""),H122,0)</f>
      </c>
      <c r="F123" s="9"/>
      <c r="G123" s="9"/>
      <c r="H123" s="3">
        <f>E123-IF(F123="",0,F123)-IF(G123="",0,G123)</f>
      </c>
      <c r="I123" s="12"/>
    </row>
    <row r="124" ht="21.0" customHeight="1">
      <c r="A124" s="9"/>
      <c r="B124" s="9"/>
      <c r="C124" s="9"/>
      <c r="D124" s="2"/>
      <c r="E124" s="3">
        <f>9326.75+IF(AND(F123&lt;&gt;"",G123&lt;&gt;""),H123,0)</f>
      </c>
      <c r="F124" s="9"/>
      <c r="G124" s="9"/>
      <c r="H124" s="3">
        <f>E124-IF(F124="",0,F124)-IF(G124="",0,G124)</f>
      </c>
      <c r="I124" s="12"/>
    </row>
    <row r="125" ht="21.0" customHeight="1">
      <c r="A125" s="9"/>
      <c r="B125" s="9"/>
      <c r="C125" s="9"/>
      <c r="D125" s="2"/>
      <c r="E125" s="3">
        <f>9326.75+IF(AND(F124&lt;&gt;"",G124&lt;&gt;""),H124,0)</f>
      </c>
      <c r="F125" s="9"/>
      <c r="G125" s="9"/>
      <c r="H125" s="3">
        <f>E125-IF(F125="",0,F125)-IF(G125="",0,G125)</f>
      </c>
      <c r="I125" s="12"/>
    </row>
    <row r="126" ht="21.0" customHeight="1">
      <c r="A126" s="9"/>
      <c r="B126" s="9"/>
      <c r="C126" s="9"/>
      <c r="D126" s="2"/>
      <c r="E126" s="3">
        <f>9326.75+IF(AND(F125&lt;&gt;"",G125&lt;&gt;""),H125,0)</f>
      </c>
      <c r="F126" s="9"/>
      <c r="G126" s="9"/>
      <c r="H126" s="3">
        <f>E126-IF(F126="",0,F126)-IF(G126="",0,G126)</f>
      </c>
      <c r="I126" s="12"/>
    </row>
    <row r="127" ht="21.0" customHeight="1">
      <c r="A127" s="9"/>
      <c r="B127" s="9"/>
      <c r="C127" s="9"/>
      <c r="D127" s="2"/>
      <c r="E127" s="3">
        <f>9326.75+IF(AND(F126&lt;&gt;"",G126&lt;&gt;""),H126,0)</f>
      </c>
      <c r="F127" s="9"/>
      <c r="G127" s="9"/>
      <c r="H127" s="3">
        <f>E127-IF(F127="",0,F127)-IF(G127="",0,G127)</f>
      </c>
      <c r="I127" s="12"/>
    </row>
    <row r="128" ht="21.0" customHeight="1">
      <c r="A128" s="9"/>
      <c r="B128" s="9"/>
      <c r="C128" s="9"/>
      <c r="D128" s="2"/>
      <c r="E128" s="3">
        <f>9326.75+IF(AND(F127&lt;&gt;"",G127&lt;&gt;""),H127,0)</f>
      </c>
      <c r="F128" s="9"/>
      <c r="G128" s="9"/>
      <c r="H128" s="3">
        <f>E128-IF(F128="",0,F128)-IF(G128="",0,G128)</f>
      </c>
      <c r="I128" s="12"/>
    </row>
    <row r="129" ht="21.0" customHeight="1">
      <c r="A129" s="9"/>
      <c r="B129" s="9"/>
      <c r="C129" s="9"/>
      <c r="D129" s="2"/>
      <c r="E129" s="3">
        <f>9326.75+IF(AND(F128&lt;&gt;"",G128&lt;&gt;""),H128,0)</f>
      </c>
      <c r="F129" s="9"/>
      <c r="G129" s="9"/>
      <c r="H129" s="3">
        <f>E129-IF(F129="",0,F129)-IF(G129="",0,G129)</f>
      </c>
      <c r="I129" s="12"/>
    </row>
    <row r="130" ht="21.0" customHeight="1">
      <c r="A130" s="9"/>
      <c r="B130" s="9"/>
      <c r="C130" s="9"/>
      <c r="D130" s="2"/>
      <c r="E130" s="3">
        <f>9326.75+IF(AND(F129&lt;&gt;"",G129&lt;&gt;""),H129,0)</f>
      </c>
      <c r="F130" s="9"/>
      <c r="G130" s="9"/>
      <c r="H130" s="3">
        <f>E130-IF(F130="",0,F130)-IF(G130="",0,G130)</f>
      </c>
      <c r="I130" s="12"/>
    </row>
    <row r="131" ht="21.0" customHeight="1">
      <c r="A131" s="9"/>
      <c r="B131" s="9"/>
      <c r="C131" s="9"/>
      <c r="D131" s="2"/>
      <c r="E131" s="3">
        <f>9326.75+IF(AND(F130&lt;&gt;"",G130&lt;&gt;""),H130,0)</f>
      </c>
      <c r="F131" s="9"/>
      <c r="G131" s="9"/>
      <c r="H131" s="3">
        <f>E131-IF(F131="",0,F131)-IF(G131="",0,G131)</f>
      </c>
      <c r="I131" s="12"/>
    </row>
    <row r="132" ht="21.0" customHeight="1">
      <c r="A132" s="9"/>
      <c r="B132" s="9"/>
      <c r="C132" s="9"/>
      <c r="D132" s="2"/>
      <c r="E132" s="3">
        <f>9326.75+IF(AND(F131&lt;&gt;"",G131&lt;&gt;""),H131,0)</f>
      </c>
      <c r="F132" s="9"/>
      <c r="G132" s="9"/>
      <c r="H132" s="3">
        <f>E132-IF(F132="",0,F132)-IF(G132="",0,G132)</f>
      </c>
      <c r="I132" s="12"/>
    </row>
    <row r="133" ht="21.0" customHeight="1">
      <c r="A133" s="9"/>
      <c r="B133" s="9"/>
      <c r="C133" s="9"/>
      <c r="D133" s="2"/>
      <c r="E133" s="3">
        <f>9326.75+IF(AND(F132&lt;&gt;"",G132&lt;&gt;""),H132,0)</f>
      </c>
      <c r="F133" s="9"/>
      <c r="G133" s="9"/>
      <c r="H133" s="3">
        <f>E133-IF(F133="",0,F133)-IF(G133="",0,G133)</f>
      </c>
      <c r="I133" s="12"/>
    </row>
    <row r="134" ht="21.0" customHeight="1">
      <c r="A134" s="9"/>
      <c r="B134" s="9"/>
      <c r="C134" s="9"/>
      <c r="D134" s="2"/>
      <c r="E134" s="3">
        <f>9326.75+IF(AND(F133&lt;&gt;"",G133&lt;&gt;""),H133,0)</f>
      </c>
      <c r="F134" s="9"/>
      <c r="G134" s="9"/>
      <c r="H134" s="3">
        <f>E134-IF(F134="",0,F134)-IF(G134="",0,G134)</f>
      </c>
      <c r="I134" s="12"/>
    </row>
    <row r="135" ht="21.0" customHeight="1">
      <c r="A135" s="9"/>
      <c r="B135" s="9"/>
      <c r="C135" s="9"/>
      <c r="D135" s="2"/>
      <c r="E135" s="3">
        <f>9326.75+IF(AND(F134&lt;&gt;"",G134&lt;&gt;""),H134,0)</f>
      </c>
      <c r="F135" s="9"/>
      <c r="G135" s="9"/>
      <c r="H135" s="3">
        <f>E135-IF(F135="",0,F135)-IF(G135="",0,G135)</f>
      </c>
      <c r="I135" s="12"/>
    </row>
    <row r="136" ht="21.0" customHeight="1">
      <c r="A136" s="9"/>
      <c r="B136" s="9"/>
      <c r="C136" s="9"/>
      <c r="D136" s="2"/>
      <c r="E136" s="3">
        <f>9326.75+IF(AND(F135&lt;&gt;"",G135&lt;&gt;""),H135,0)</f>
      </c>
      <c r="F136" s="9"/>
      <c r="G136" s="9"/>
      <c r="H136" s="3">
        <f>E136-IF(F136="",0,F136)-IF(G136="",0,G136)</f>
      </c>
      <c r="I136" s="12"/>
    </row>
    <row r="137" ht="21.0" customHeight="1">
      <c r="A137" s="9"/>
      <c r="B137" s="9"/>
      <c r="C137" s="9"/>
      <c r="D137" s="2"/>
      <c r="E137" s="3">
        <f>9326.75+IF(AND(F136&lt;&gt;"",G136&lt;&gt;""),H136,0)</f>
      </c>
      <c r="F137" s="9"/>
      <c r="G137" s="9"/>
      <c r="H137" s="3">
        <f>E137-IF(F137="",0,F137)-IF(G137="",0,G137)</f>
      </c>
      <c r="I137" s="12"/>
    </row>
    <row r="138" ht="21.0" customHeight="1">
      <c r="A138" s="9"/>
      <c r="B138" s="9"/>
      <c r="C138" s="9"/>
      <c r="D138" s="2"/>
      <c r="E138" s="3">
        <f>9326.75+IF(AND(F137&lt;&gt;"",G137&lt;&gt;""),H137,0)</f>
      </c>
      <c r="F138" s="9"/>
      <c r="G138" s="9"/>
      <c r="H138" s="3">
        <f>E138-IF(F138="",0,F138)-IF(G138="",0,G138)</f>
      </c>
      <c r="I138" s="12"/>
    </row>
    <row r="139" ht="21.0" customHeight="1">
      <c r="A139" s="9"/>
      <c r="B139" s="9"/>
      <c r="C139" s="9"/>
      <c r="D139" s="2"/>
      <c r="E139" s="3">
        <f>9326.75+IF(AND(F138&lt;&gt;"",G138&lt;&gt;""),H138,0)</f>
      </c>
      <c r="F139" s="9"/>
      <c r="G139" s="9"/>
      <c r="H139" s="3">
        <f>E139-IF(F139="",0,F139)-IF(G139="",0,G139)</f>
      </c>
      <c r="I139" s="12"/>
    </row>
    <row r="140" ht="21.0" customHeight="1">
      <c r="A140" s="9"/>
      <c r="B140" s="9"/>
      <c r="C140" s="9"/>
      <c r="D140" s="2"/>
      <c r="E140" s="3">
        <f>9326.75+IF(AND(F139&lt;&gt;"",G139&lt;&gt;""),H139,0)</f>
      </c>
      <c r="F140" s="9"/>
      <c r="G140" s="9"/>
      <c r="H140" s="3">
        <f>E140-IF(F140="",0,F140)-IF(G140="",0,G140)</f>
      </c>
      <c r="I140" s="12"/>
    </row>
    <row r="141" ht="21.0" customHeight="1">
      <c r="A141" s="9"/>
      <c r="B141" s="9"/>
      <c r="C141" s="9"/>
      <c r="D141" s="2"/>
      <c r="E141" s="3">
        <f>9326.75+IF(AND(F140&lt;&gt;"",G140&lt;&gt;""),H140,0)</f>
      </c>
      <c r="F141" s="9"/>
      <c r="G141" s="9"/>
      <c r="H141" s="3">
        <f>E141-IF(F141="",0,F141)-IF(G141="",0,G141)</f>
      </c>
      <c r="I141" s="12"/>
    </row>
    <row r="142" ht="21.0" customHeight="1">
      <c r="A142" s="9"/>
      <c r="B142" s="9"/>
      <c r="C142" s="9"/>
      <c r="D142" s="2"/>
      <c r="E142" s="3">
        <f>9326.75+IF(AND(F141&lt;&gt;"",G141&lt;&gt;""),H141,0)</f>
      </c>
      <c r="F142" s="9"/>
      <c r="G142" s="9"/>
      <c r="H142" s="3">
        <f>E142-IF(F142="",0,F142)-IF(G142="",0,G142)</f>
      </c>
      <c r="I142" s="12"/>
    </row>
    <row r="143" ht="21.0" customHeight="1">
      <c r="A143" s="9"/>
      <c r="B143" s="9"/>
      <c r="C143" s="9"/>
      <c r="D143" s="2"/>
      <c r="E143" s="3">
        <f>9326.75+IF(AND(F142&lt;&gt;"",G142&lt;&gt;""),H142,0)</f>
      </c>
      <c r="F143" s="9"/>
      <c r="G143" s="9"/>
      <c r="H143" s="3">
        <f>E143-IF(F143="",0,F143)-IF(G143="",0,G143)</f>
      </c>
      <c r="I143" s="12"/>
    </row>
    <row r="144" ht="21.0" customHeight="1">
      <c r="A144" s="9"/>
      <c r="B144" s="9"/>
      <c r="C144" s="9"/>
      <c r="D144" s="2"/>
      <c r="E144" s="3">
        <f>9326.75+IF(AND(F143&lt;&gt;"",G143&lt;&gt;""),H143,0)</f>
      </c>
      <c r="F144" s="9"/>
      <c r="G144" s="9"/>
      <c r="H144" s="3">
        <f>E144-IF(F144="",0,F144)-IF(G144="",0,G144)</f>
      </c>
      <c r="I144" s="12"/>
    </row>
    <row r="145" ht="21.0" customHeight="1">
      <c r="A145" s="9"/>
      <c r="B145" s="9"/>
      <c r="C145" s="9"/>
      <c r="D145" s="2"/>
      <c r="E145" s="3">
        <f>9326.75+IF(AND(F144&lt;&gt;"",G144&lt;&gt;""),H144,0)</f>
      </c>
      <c r="F145" s="9"/>
      <c r="G145" s="9"/>
      <c r="H145" s="3">
        <f>E145-IF(F145="",0,F145)-IF(G145="",0,G145)</f>
      </c>
      <c r="I145" s="12"/>
    </row>
    <row r="146" ht="21.0" customHeight="1">
      <c r="A146" s="9"/>
      <c r="B146" s="9"/>
      <c r="C146" s="9"/>
      <c r="D146" s="2"/>
      <c r="E146" s="3">
        <f>9326.75+IF(AND(F145&lt;&gt;"",G145&lt;&gt;""),H145,0)</f>
      </c>
      <c r="F146" s="9"/>
      <c r="G146" s="9"/>
      <c r="H146" s="3">
        <f>E146-IF(F146="",0,F146)-IF(G146="",0,G146)</f>
      </c>
      <c r="I146" s="12"/>
    </row>
    <row r="147" ht="21.0" customHeight="1">
      <c r="A147" s="9"/>
      <c r="B147" s="9"/>
      <c r="C147" s="9"/>
      <c r="D147" s="2"/>
      <c r="E147" s="3">
        <f>9326.75+IF(AND(F146&lt;&gt;"",G146&lt;&gt;""),H146,0)</f>
      </c>
      <c r="F147" s="9"/>
      <c r="G147" s="9"/>
      <c r="H147" s="3">
        <f>E147-IF(F147="",0,F147)-IF(G147="",0,G147)</f>
      </c>
      <c r="I147" s="12"/>
    </row>
    <row r="148" ht="21.0" customHeight="1">
      <c r="A148" s="9"/>
      <c r="B148" s="9"/>
      <c r="C148" s="9"/>
      <c r="D148" s="2"/>
      <c r="E148" s="3">
        <f>9326.75+IF(AND(F147&lt;&gt;"",G147&lt;&gt;""),H147,0)</f>
      </c>
      <c r="F148" s="9"/>
      <c r="G148" s="9"/>
      <c r="H148" s="3">
        <f>E148-IF(F148="",0,F148)-IF(G148="",0,G148)</f>
      </c>
      <c r="I148" s="12"/>
    </row>
    <row r="149" ht="21.0" customHeight="1">
      <c r="A149" s="9"/>
      <c r="B149" s="9"/>
      <c r="C149" s="9"/>
      <c r="D149" s="2"/>
      <c r="E149" s="3">
        <f>9326.75+IF(AND(F148&lt;&gt;"",G148&lt;&gt;""),H148,0)</f>
      </c>
      <c r="F149" s="9"/>
      <c r="G149" s="9"/>
      <c r="H149" s="3">
        <f>E149-IF(F149="",0,F149)-IF(G149="",0,G149)</f>
      </c>
      <c r="I149" s="12"/>
    </row>
    <row r="150" ht="21.0" customHeight="1">
      <c r="A150" s="9"/>
      <c r="B150" s="9"/>
      <c r="C150" s="9"/>
      <c r="D150" s="2"/>
      <c r="E150" s="3">
        <f>9326.75+IF(AND(F149&lt;&gt;"",G149&lt;&gt;""),H149,0)</f>
      </c>
      <c r="F150" s="9"/>
      <c r="G150" s="9"/>
      <c r="H150" s="3">
        <f>E150-IF(F150="",0,F150)-IF(G150="",0,G150)</f>
      </c>
      <c r="I150" s="12"/>
    </row>
    <row r="151" ht="21.0" customHeight="1">
      <c r="A151" s="9"/>
      <c r="B151" s="9"/>
      <c r="C151" s="9"/>
      <c r="D151" s="2"/>
      <c r="E151" s="3">
        <f>9326.75+IF(AND(F150&lt;&gt;"",G150&lt;&gt;""),H150,0)</f>
      </c>
      <c r="F151" s="9"/>
      <c r="G151" s="9"/>
      <c r="H151" s="3">
        <f>E151-IF(F151="",0,F151)-IF(G151="",0,G151)</f>
      </c>
      <c r="I151" s="12"/>
    </row>
    <row r="152" ht="21.0" customHeight="1">
      <c r="A152" s="9"/>
      <c r="B152" s="9"/>
      <c r="C152" s="9"/>
      <c r="D152" s="2"/>
      <c r="E152" s="3">
        <f>9326.75+IF(AND(F151&lt;&gt;"",G151&lt;&gt;""),H151,0)</f>
      </c>
      <c r="F152" s="9"/>
      <c r="G152" s="9"/>
      <c r="H152" s="3">
        <f>E152-IF(F152="",0,F152)-IF(G152="",0,G152)</f>
      </c>
      <c r="I152" s="12"/>
    </row>
    <row r="153" ht="21.0" customHeight="1">
      <c r="A153" s="9"/>
      <c r="B153" s="9"/>
      <c r="C153" s="9"/>
      <c r="D153" s="2"/>
      <c r="E153" s="3">
        <f>9326.75+IF(AND(F152&lt;&gt;"",G152&lt;&gt;""),H152,0)</f>
      </c>
      <c r="F153" s="9"/>
      <c r="G153" s="9"/>
      <c r="H153" s="3">
        <f>E153-IF(F153="",0,F153)-IF(G153="",0,G153)</f>
      </c>
      <c r="I153" s="12"/>
    </row>
    <row r="154" ht="21.0" customHeight="1">
      <c r="A154" s="9"/>
      <c r="B154" s="9"/>
      <c r="C154" s="9"/>
      <c r="D154" s="2"/>
      <c r="E154" s="3">
        <f>9326.75+IF(AND(F153&lt;&gt;"",G153&lt;&gt;""),H153,0)</f>
      </c>
      <c r="F154" s="9"/>
      <c r="G154" s="9"/>
      <c r="H154" s="3">
        <f>E154-IF(F154="",0,F154)-IF(G154="",0,G154)</f>
      </c>
      <c r="I154" s="12"/>
    </row>
    <row r="155" ht="21.0" customHeight="1">
      <c r="A155" s="9"/>
      <c r="B155" s="9"/>
      <c r="C155" s="9"/>
      <c r="D155" s="2"/>
      <c r="E155" s="3">
        <f>9326.75+IF(AND(F154&lt;&gt;"",G154&lt;&gt;""),H154,0)</f>
      </c>
      <c r="F155" s="9"/>
      <c r="G155" s="9"/>
      <c r="H155" s="3">
        <f>E155-IF(F155="",0,F155)-IF(G155="",0,G155)</f>
      </c>
      <c r="I155" s="12"/>
    </row>
    <row r="156" ht="21.0" customHeight="1">
      <c r="A156" s="9"/>
      <c r="B156" s="9"/>
      <c r="C156" s="9"/>
      <c r="D156" s="2"/>
      <c r="E156" s="3">
        <f>9326.75+IF(AND(F155&lt;&gt;"",G155&lt;&gt;""),H155,0)</f>
      </c>
      <c r="F156" s="9"/>
      <c r="G156" s="9"/>
      <c r="H156" s="3">
        <f>E156-IF(F156="",0,F156)-IF(G156="",0,G156)</f>
      </c>
      <c r="I156" s="12"/>
    </row>
    <row r="157" ht="21.0" customHeight="1">
      <c r="A157" s="9"/>
      <c r="B157" s="9"/>
      <c r="C157" s="9"/>
      <c r="D157" s="2"/>
      <c r="E157" s="3">
        <f>9326.75+IF(AND(F156&lt;&gt;"",G156&lt;&gt;""),H156,0)</f>
      </c>
      <c r="F157" s="9"/>
      <c r="G157" s="9"/>
      <c r="H157" s="3">
        <f>E157-IF(F157="",0,F157)-IF(G157="",0,G157)</f>
      </c>
      <c r="I157" s="12"/>
    </row>
    <row r="158" ht="21.0" customHeight="1">
      <c r="A158" s="9"/>
      <c r="B158" s="9"/>
      <c r="C158" s="9"/>
      <c r="D158" s="2"/>
      <c r="E158" s="3">
        <f>9326.75+IF(AND(F157&lt;&gt;"",G157&lt;&gt;""),H157,0)</f>
      </c>
      <c r="F158" s="9"/>
      <c r="G158" s="9"/>
      <c r="H158" s="3">
        <f>E158-IF(F158="",0,F158)-IF(G158="",0,G158)</f>
      </c>
      <c r="I158" s="12"/>
    </row>
    <row r="159" ht="21.0" customHeight="1">
      <c r="A159" s="9"/>
      <c r="B159" s="9"/>
      <c r="C159" s="9"/>
      <c r="D159" s="2"/>
      <c r="E159" s="3">
        <f>9326.75+IF(AND(F158&lt;&gt;"",G158&lt;&gt;""),H158,0)</f>
      </c>
      <c r="F159" s="9"/>
      <c r="G159" s="9"/>
      <c r="H159" s="3">
        <f>E159-IF(F159="",0,F159)-IF(G159="",0,G159)</f>
      </c>
      <c r="I159" s="12"/>
    </row>
    <row r="160" ht="21.0" customHeight="1">
      <c r="A160" s="9"/>
      <c r="B160" s="9"/>
      <c r="C160" s="9"/>
      <c r="D160" s="2"/>
      <c r="E160" s="3">
        <f>9326.75+IF(AND(F159&lt;&gt;"",G159&lt;&gt;""),H159,0)</f>
      </c>
      <c r="F160" s="9"/>
      <c r="G160" s="9"/>
      <c r="H160" s="3">
        <f>E160-IF(F160="",0,F160)-IF(G160="",0,G160)</f>
      </c>
      <c r="I160" s="12"/>
    </row>
    <row r="161" ht="21.0" customHeight="1">
      <c r="A161" s="9"/>
      <c r="B161" s="9"/>
      <c r="C161" s="9"/>
      <c r="D161" s="2"/>
      <c r="E161" s="3">
        <f>9326.75+IF(AND(F160&lt;&gt;"",G160&lt;&gt;""),H160,0)</f>
      </c>
      <c r="F161" s="9"/>
      <c r="G161" s="9"/>
      <c r="H161" s="3">
        <f>E161-IF(F161="",0,F161)-IF(G161="",0,G161)</f>
      </c>
      <c r="I161" s="12"/>
    </row>
    <row r="162" ht="21.0" customHeight="1">
      <c r="A162" s="9"/>
      <c r="B162" s="9"/>
      <c r="C162" s="9"/>
      <c r="D162" s="2"/>
      <c r="E162" s="3">
        <f>9326.75+IF(AND(F161&lt;&gt;"",G161&lt;&gt;""),H161,0)</f>
      </c>
      <c r="F162" s="9"/>
      <c r="G162" s="9"/>
      <c r="H162" s="3">
        <f>E162-IF(F162="",0,F162)-IF(G162="",0,G162)</f>
      </c>
      <c r="I162" s="12"/>
    </row>
    <row r="163" ht="21.0" customHeight="1">
      <c r="A163" s="9"/>
      <c r="B163" s="9"/>
      <c r="C163" s="9"/>
      <c r="D163" s="2"/>
      <c r="E163" s="3">
        <f>9326.75+IF(AND(F162&lt;&gt;"",G162&lt;&gt;""),H162,0)</f>
      </c>
      <c r="F163" s="9"/>
      <c r="G163" s="9"/>
      <c r="H163" s="3">
        <f>E163-IF(F163="",0,F163)-IF(G163="",0,G163)</f>
      </c>
      <c r="I163" s="12"/>
    </row>
    <row r="164" ht="21.0" customHeight="1">
      <c r="A164" s="9"/>
      <c r="B164" s="9"/>
      <c r="C164" s="9"/>
      <c r="D164" s="2"/>
      <c r="E164" s="3">
        <f>9326.75+IF(AND(F163&lt;&gt;"",G163&lt;&gt;""),H163,0)</f>
      </c>
      <c r="F164" s="9"/>
      <c r="G164" s="9"/>
      <c r="H164" s="3">
        <f>E164-IF(F164="",0,F164)-IF(G164="",0,G164)</f>
      </c>
      <c r="I164" s="12"/>
    </row>
    <row r="165" ht="21.0" customHeight="1">
      <c r="A165" s="9"/>
      <c r="B165" s="9"/>
      <c r="C165" s="9"/>
      <c r="D165" s="2"/>
      <c r="E165" s="3">
        <f>9326.75+IF(AND(F164&lt;&gt;"",G164&lt;&gt;""),H164,0)</f>
      </c>
      <c r="F165" s="9"/>
      <c r="G165" s="9"/>
      <c r="H165" s="3">
        <f>E165-IF(F165="",0,F165)-IF(G165="",0,G165)</f>
      </c>
      <c r="I165" s="12"/>
    </row>
    <row r="166" ht="21.0" customHeight="1">
      <c r="A166" s="9"/>
      <c r="B166" s="9"/>
      <c r="C166" s="9"/>
      <c r="D166" s="2"/>
      <c r="E166" s="3">
        <f>9326.75+IF(AND(F165&lt;&gt;"",G165&lt;&gt;""),H165,0)</f>
      </c>
      <c r="F166" s="9"/>
      <c r="G166" s="9"/>
      <c r="H166" s="3">
        <f>E166-IF(F166="",0,F166)-IF(G166="",0,G166)</f>
      </c>
      <c r="I166" s="12"/>
    </row>
    <row r="167" ht="21.0" customHeight="1">
      <c r="A167" s="9"/>
      <c r="B167" s="9"/>
      <c r="C167" s="9"/>
      <c r="D167" s="2"/>
      <c r="E167" s="3">
        <f>9326.75+IF(AND(F166&lt;&gt;"",G166&lt;&gt;""),H166,0)</f>
      </c>
      <c r="F167" s="9"/>
      <c r="G167" s="9"/>
      <c r="H167" s="3">
        <f>E167-IF(F167="",0,F167)-IF(G167="",0,G167)</f>
      </c>
      <c r="I167" s="12"/>
    </row>
    <row r="168" ht="21.0" customHeight="1">
      <c r="A168" s="9"/>
      <c r="B168" s="9"/>
      <c r="C168" s="9"/>
      <c r="D168" s="2"/>
      <c r="E168" s="3">
        <f>9326.75+IF(AND(F167&lt;&gt;"",G167&lt;&gt;""),H167,0)</f>
      </c>
      <c r="F168" s="9"/>
      <c r="G168" s="9"/>
      <c r="H168" s="3">
        <f>E168-IF(F168="",0,F168)-IF(G168="",0,G168)</f>
      </c>
      <c r="I168" s="12"/>
    </row>
    <row r="169" ht="21.0" customHeight="1">
      <c r="A169" s="9"/>
      <c r="B169" s="9"/>
      <c r="C169" s="9"/>
      <c r="D169" s="2"/>
      <c r="E169" s="3">
        <f>9326.75+IF(AND(F168&lt;&gt;"",G168&lt;&gt;""),H168,0)</f>
      </c>
      <c r="F169" s="9"/>
      <c r="G169" s="9"/>
      <c r="H169" s="3">
        <f>E169-IF(F169="",0,F169)-IF(G169="",0,G169)</f>
      </c>
      <c r="I169" s="12"/>
    </row>
    <row r="170" ht="21.0" customHeight="1">
      <c r="A170" s="9"/>
      <c r="B170" s="9"/>
      <c r="C170" s="9"/>
      <c r="D170" s="2"/>
      <c r="E170" s="3">
        <f>9326.75+IF(AND(F169&lt;&gt;"",G169&lt;&gt;""),H169,0)</f>
      </c>
      <c r="F170" s="9"/>
      <c r="G170" s="9"/>
      <c r="H170" s="3">
        <f>E170-IF(F170="",0,F170)-IF(G170="",0,G170)</f>
      </c>
      <c r="I170" s="12"/>
    </row>
    <row r="171" ht="21.0" customHeight="1">
      <c r="A171" s="9"/>
      <c r="B171" s="9"/>
      <c r="C171" s="9"/>
      <c r="D171" s="2"/>
      <c r="E171" s="3">
        <f>9326.75+IF(AND(F170&lt;&gt;"",G170&lt;&gt;""),H170,0)</f>
      </c>
      <c r="F171" s="9"/>
      <c r="G171" s="9"/>
      <c r="H171" s="3">
        <f>E171-IF(F171="",0,F171)-IF(G171="",0,G171)</f>
      </c>
      <c r="I171" s="12"/>
    </row>
    <row r="172" ht="21.0" customHeight="1">
      <c r="A172" s="9"/>
      <c r="B172" s="9"/>
      <c r="C172" s="9"/>
      <c r="D172" s="2"/>
      <c r="E172" s="3">
        <f>9326.75+IF(AND(F171&lt;&gt;"",G171&lt;&gt;""),H171,0)</f>
      </c>
      <c r="F172" s="9"/>
      <c r="G172" s="9"/>
      <c r="H172" s="3">
        <f>E172-IF(F172="",0,F172)-IF(G172="",0,G172)</f>
      </c>
      <c r="I172" s="12"/>
    </row>
    <row r="173" ht="21.0" customHeight="1">
      <c r="A173" s="9"/>
      <c r="B173" s="9"/>
      <c r="C173" s="9"/>
      <c r="D173" s="2"/>
      <c r="E173" s="3">
        <f>9326.75+IF(AND(F172&lt;&gt;"",G172&lt;&gt;""),H172,0)</f>
      </c>
      <c r="F173" s="9"/>
      <c r="G173" s="9"/>
      <c r="H173" s="3">
        <f>E173-IF(F173="",0,F173)-IF(G173="",0,G173)</f>
      </c>
      <c r="I173" s="12"/>
    </row>
    <row r="174" ht="21.0" customHeight="1">
      <c r="A174" s="9"/>
      <c r="B174" s="9"/>
      <c r="C174" s="9"/>
      <c r="D174" s="2"/>
      <c r="E174" s="3">
        <f>9326.75+IF(AND(F173&lt;&gt;"",G173&lt;&gt;""),H173,0)</f>
      </c>
      <c r="F174" s="9"/>
      <c r="G174" s="9"/>
      <c r="H174" s="3">
        <f>E174-IF(F174="",0,F174)-IF(G174="",0,G174)</f>
      </c>
      <c r="I174" s="12"/>
    </row>
    <row r="175" ht="21.0" customHeight="1">
      <c r="A175" s="9"/>
      <c r="B175" s="9"/>
      <c r="C175" s="9"/>
      <c r="D175" s="2"/>
      <c r="E175" s="3">
        <f>9326.75+IF(AND(F174&lt;&gt;"",G174&lt;&gt;""),H174,0)</f>
      </c>
      <c r="F175" s="9"/>
      <c r="G175" s="9"/>
      <c r="H175" s="3">
        <f>E175-IF(F175="",0,F175)-IF(G175="",0,G175)</f>
      </c>
      <c r="I175" s="12"/>
    </row>
    <row r="176" ht="21.0" customHeight="1">
      <c r="A176" s="9"/>
      <c r="B176" s="9"/>
      <c r="C176" s="9"/>
      <c r="D176" s="2"/>
      <c r="E176" s="3">
        <f>9326.75+IF(AND(F175&lt;&gt;"",G175&lt;&gt;""),H175,0)</f>
      </c>
      <c r="F176" s="9"/>
      <c r="G176" s="9"/>
      <c r="H176" s="3">
        <f>E176-IF(F176="",0,F176)-IF(G176="",0,G176)</f>
      </c>
      <c r="I176" s="12"/>
    </row>
    <row r="177" ht="21.0" customHeight="1">
      <c r="A177" s="9"/>
      <c r="B177" s="9"/>
      <c r="C177" s="9"/>
      <c r="D177" s="2"/>
      <c r="E177" s="3">
        <f>9326.75+IF(AND(F176&lt;&gt;"",G176&lt;&gt;""),H176,0)</f>
      </c>
      <c r="F177" s="9"/>
      <c r="G177" s="9"/>
      <c r="H177" s="3">
        <f>E177-IF(F177="",0,F177)-IF(G177="",0,G177)</f>
      </c>
      <c r="I177" s="12"/>
    </row>
    <row r="178" ht="21.0" customHeight="1">
      <c r="A178" s="9"/>
      <c r="B178" s="9"/>
      <c r="C178" s="9"/>
      <c r="D178" s="2"/>
      <c r="E178" s="3">
        <f>9326.75+IF(AND(F177&lt;&gt;"",G177&lt;&gt;""),H177,0)</f>
      </c>
      <c r="F178" s="9"/>
      <c r="G178" s="9"/>
      <c r="H178" s="3">
        <f>E178-IF(F178="",0,F178)-IF(G178="",0,G178)</f>
      </c>
      <c r="I178" s="12"/>
    </row>
    <row r="179" ht="21.0" customHeight="1">
      <c r="A179" s="9"/>
      <c r="B179" s="9"/>
      <c r="C179" s="9"/>
      <c r="D179" s="2"/>
      <c r="E179" s="3">
        <f>9326.75+IF(AND(F178&lt;&gt;"",G178&lt;&gt;""),H178,0)</f>
      </c>
      <c r="F179" s="9"/>
      <c r="G179" s="9"/>
      <c r="H179" s="3">
        <f>E179-IF(F179="",0,F179)-IF(G179="",0,G179)</f>
      </c>
      <c r="I179" s="12"/>
    </row>
    <row r="180" ht="21.0" customHeight="1">
      <c r="A180" s="9"/>
      <c r="B180" s="9"/>
      <c r="C180" s="9"/>
      <c r="D180" s="2"/>
      <c r="E180" s="3">
        <f>9326.75+IF(AND(F179&lt;&gt;"",G179&lt;&gt;""),H179,0)</f>
      </c>
      <c r="F180" s="9"/>
      <c r="G180" s="9"/>
      <c r="H180" s="3">
        <f>E180-IF(F180="",0,F180)-IF(G180="",0,G180)</f>
      </c>
      <c r="I180" s="12"/>
    </row>
    <row r="181" ht="21.0" customHeight="1">
      <c r="A181" s="9"/>
      <c r="B181" s="9"/>
      <c r="C181" s="9"/>
      <c r="D181" s="2"/>
      <c r="E181" s="3">
        <f>9326.75+IF(AND(F180&lt;&gt;"",G180&lt;&gt;""),H180,0)</f>
      </c>
      <c r="F181" s="9"/>
      <c r="G181" s="9"/>
      <c r="H181" s="3">
        <f>E181-IF(F181="",0,F181)-IF(G181="",0,G181)</f>
      </c>
      <c r="I181" s="12"/>
    </row>
    <row r="182" ht="21.0" customHeight="1">
      <c r="A182" s="9"/>
      <c r="B182" s="9"/>
      <c r="C182" s="9"/>
      <c r="D182" s="2"/>
      <c r="E182" s="3">
        <f>9326.75+IF(AND(F181&lt;&gt;"",G181&lt;&gt;""),H181,0)</f>
      </c>
      <c r="F182" s="9"/>
      <c r="G182" s="9"/>
      <c r="H182" s="3">
        <f>E182-IF(F182="",0,F182)-IF(G182="",0,G182)</f>
      </c>
      <c r="I182" s="12"/>
    </row>
    <row r="183" ht="21.0" customHeight="1">
      <c r="A183" s="9"/>
      <c r="B183" s="9"/>
      <c r="C183" s="9"/>
      <c r="D183" s="2"/>
      <c r="E183" s="3">
        <f>9326.75+IF(AND(F182&lt;&gt;"",G182&lt;&gt;""),H182,0)</f>
      </c>
      <c r="F183" s="9"/>
      <c r="G183" s="9"/>
      <c r="H183" s="3">
        <f>E183-IF(F183="",0,F183)-IF(G183="",0,G183)</f>
      </c>
      <c r="I183" s="12"/>
    </row>
    <row r="184" ht="21.0" customHeight="1">
      <c r="A184" s="9"/>
      <c r="B184" s="9"/>
      <c r="C184" s="9"/>
      <c r="D184" s="2"/>
      <c r="E184" s="3">
        <f>9326.75+IF(AND(F183&lt;&gt;"",G183&lt;&gt;""),H183,0)</f>
      </c>
      <c r="F184" s="9"/>
      <c r="G184" s="9"/>
      <c r="H184" s="3">
        <f>E184-IF(F184="",0,F184)-IF(G184="",0,G184)</f>
      </c>
      <c r="I184" s="12"/>
    </row>
    <row r="185" ht="21.0" customHeight="1">
      <c r="A185" s="9"/>
      <c r="B185" s="9"/>
      <c r="C185" s="9"/>
      <c r="D185" s="2"/>
      <c r="E185" s="3">
        <f>9326.75+IF(AND(F184&lt;&gt;"",G184&lt;&gt;""),H184,0)</f>
      </c>
      <c r="F185" s="9"/>
      <c r="G185" s="9"/>
      <c r="H185" s="3">
        <f>E185-IF(F185="",0,F185)-IF(G185="",0,G185)</f>
      </c>
      <c r="I185" s="12"/>
    </row>
    <row r="186" ht="21.0" customHeight="1">
      <c r="A186" s="9"/>
      <c r="B186" s="9"/>
      <c r="C186" s="9"/>
      <c r="D186" s="2"/>
      <c r="E186" s="3">
        <f>9326.75+IF(AND(F185&lt;&gt;"",G185&lt;&gt;""),H185,0)</f>
      </c>
      <c r="F186" s="9"/>
      <c r="G186" s="9"/>
      <c r="H186" s="3">
        <f>E186-IF(F186="",0,F186)-IF(G186="",0,G186)</f>
      </c>
      <c r="I186" s="12"/>
    </row>
    <row r="187" ht="21.0" customHeight="1">
      <c r="A187" s="9"/>
      <c r="B187" s="9"/>
      <c r="C187" s="9"/>
      <c r="D187" s="2"/>
      <c r="E187" s="3">
        <f>9326.75+IF(AND(F186&lt;&gt;"",G186&lt;&gt;""),H186,0)</f>
      </c>
      <c r="F187" s="9"/>
      <c r="G187" s="9"/>
      <c r="H187" s="3">
        <f>E187-IF(F187="",0,F187)-IF(G187="",0,G187)</f>
      </c>
      <c r="I187" s="12"/>
    </row>
    <row r="188" ht="21.0" customHeight="1">
      <c r="A188" s="9"/>
      <c r="B188" s="9"/>
      <c r="C188" s="9"/>
      <c r="D188" s="2"/>
      <c r="E188" s="3">
        <f>9326.75+IF(AND(F187&lt;&gt;"",G187&lt;&gt;""),H187,0)</f>
      </c>
      <c r="F188" s="9"/>
      <c r="G188" s="9"/>
      <c r="H188" s="3">
        <f>E188-IF(F188="",0,F188)-IF(G188="",0,G188)</f>
      </c>
      <c r="I188" s="12"/>
    </row>
    <row r="189" ht="21.0" customHeight="1">
      <c r="A189" s="9"/>
      <c r="B189" s="9"/>
      <c r="C189" s="9"/>
      <c r="D189" s="2"/>
      <c r="E189" s="3">
        <f>9326.75+IF(AND(F188&lt;&gt;"",G188&lt;&gt;""),H188,0)</f>
      </c>
      <c r="F189" s="9"/>
      <c r="G189" s="9"/>
      <c r="H189" s="3">
        <f>E189-IF(F189="",0,F189)-IF(G189="",0,G189)</f>
      </c>
      <c r="I189" s="12"/>
    </row>
    <row r="190" ht="21.0" customHeight="1">
      <c r="A190" s="9"/>
      <c r="B190" s="9"/>
      <c r="C190" s="9"/>
      <c r="D190" s="2"/>
      <c r="E190" s="3">
        <f>9326.75+IF(AND(F189&lt;&gt;"",G189&lt;&gt;""),H189,0)</f>
      </c>
      <c r="F190" s="9"/>
      <c r="G190" s="9"/>
      <c r="H190" s="3">
        <f>E190-IF(F190="",0,F190)-IF(G190="",0,G190)</f>
      </c>
      <c r="I190" s="12"/>
    </row>
    <row r="191" ht="21.0" customHeight="1">
      <c r="A191" s="9"/>
      <c r="B191" s="9"/>
      <c r="C191" s="9"/>
      <c r="D191" s="2"/>
      <c r="E191" s="3">
        <f>9326.75+IF(AND(F190&lt;&gt;"",G190&lt;&gt;""),H190,0)</f>
      </c>
      <c r="F191" s="9"/>
      <c r="G191" s="9"/>
      <c r="H191" s="3">
        <f>E191-IF(F191="",0,F191)-IF(G191="",0,G191)</f>
      </c>
      <c r="I191" s="12"/>
    </row>
    <row r="192" ht="21.0" customHeight="1">
      <c r="A192" s="9"/>
      <c r="B192" s="9"/>
      <c r="C192" s="9"/>
      <c r="D192" s="2"/>
      <c r="E192" s="3">
        <f>9326.75+IF(AND(F191&lt;&gt;"",G191&lt;&gt;""),H191,0)</f>
      </c>
      <c r="F192" s="9"/>
      <c r="G192" s="9"/>
      <c r="H192" s="3">
        <f>E192-IF(F192="",0,F192)-IF(G192="",0,G192)</f>
      </c>
      <c r="I192" s="12"/>
    </row>
    <row r="193" ht="21.0" customHeight="1">
      <c r="A193" s="9"/>
      <c r="B193" s="9"/>
      <c r="C193" s="9"/>
      <c r="D193" s="2"/>
      <c r="E193" s="3">
        <f>9326.75+IF(AND(F192&lt;&gt;"",G192&lt;&gt;""),H192,0)</f>
      </c>
      <c r="F193" s="9"/>
      <c r="G193" s="9"/>
      <c r="H193" s="3">
        <f>E193-IF(F193="",0,F193)-IF(G193="",0,G193)</f>
      </c>
      <c r="I193" s="12"/>
    </row>
    <row r="194" ht="21.0" customHeight="1">
      <c r="A194" s="9"/>
      <c r="B194" s="9"/>
      <c r="C194" s="9"/>
      <c r="D194" s="2"/>
      <c r="E194" s="3">
        <f>9326.75+IF(AND(F193&lt;&gt;"",G193&lt;&gt;""),H193,0)</f>
      </c>
      <c r="F194" s="9"/>
      <c r="G194" s="9"/>
      <c r="H194" s="3">
        <f>E194-IF(F194="",0,F194)-IF(G194="",0,G194)</f>
      </c>
      <c r="I194" s="12"/>
    </row>
    <row r="195" ht="21.0" customHeight="1">
      <c r="A195" s="9"/>
      <c r="B195" s="9"/>
      <c r="C195" s="9"/>
      <c r="D195" s="2"/>
      <c r="E195" s="3">
        <f>9326.75+IF(AND(F194&lt;&gt;"",G194&lt;&gt;""),H194,0)</f>
      </c>
      <c r="F195" s="9"/>
      <c r="G195" s="9"/>
      <c r="H195" s="3">
        <f>E195-IF(F195="",0,F195)-IF(G195="",0,G195)</f>
      </c>
      <c r="I195" s="12"/>
    </row>
    <row r="196" ht="21.0" customHeight="1">
      <c r="A196" s="9"/>
      <c r="B196" s="9"/>
      <c r="C196" s="9"/>
      <c r="D196" s="2"/>
      <c r="E196" s="3">
        <f>9326.75+IF(AND(F195&lt;&gt;"",G195&lt;&gt;""),H195,0)</f>
      </c>
      <c r="F196" s="9"/>
      <c r="G196" s="9"/>
      <c r="H196" s="3">
        <f>E196-IF(F196="",0,F196)-IF(G196="",0,G196)</f>
      </c>
      <c r="I196" s="12"/>
    </row>
    <row r="197" ht="21.0" customHeight="1">
      <c r="A197" s="9"/>
      <c r="B197" s="9"/>
      <c r="C197" s="9"/>
      <c r="D197" s="2"/>
      <c r="E197" s="3">
        <f>9326.75+IF(AND(F196&lt;&gt;"",G196&lt;&gt;""),H196,0)</f>
      </c>
      <c r="F197" s="9"/>
      <c r="G197" s="9"/>
      <c r="H197" s="3">
        <f>E197-IF(F197="",0,F197)-IF(G197="",0,G197)</f>
      </c>
      <c r="I197" s="12"/>
    </row>
    <row r="198" ht="21.0" customHeight="1">
      <c r="A198" s="9"/>
      <c r="B198" s="9"/>
      <c r="C198" s="9"/>
      <c r="D198" s="2"/>
      <c r="E198" s="3">
        <f>9326.75+IF(AND(F197&lt;&gt;"",G197&lt;&gt;""),H197,0)</f>
      </c>
      <c r="F198" s="9"/>
      <c r="G198" s="9"/>
      <c r="H198" s="3">
        <f>E198-IF(F198="",0,F198)-IF(G198="",0,G198)</f>
      </c>
      <c r="I198" s="12"/>
    </row>
    <row r="199" ht="21.0" customHeight="1">
      <c r="A199" s="9"/>
      <c r="B199" s="9"/>
      <c r="C199" s="9"/>
      <c r="D199" s="2"/>
      <c r="E199" s="3">
        <f>9326.75+IF(AND(F198&lt;&gt;"",G198&lt;&gt;""),H198,0)</f>
      </c>
      <c r="F199" s="9"/>
      <c r="G199" s="9"/>
      <c r="H199" s="3">
        <f>E199-IF(F199="",0,F199)-IF(G199="",0,G199)</f>
      </c>
      <c r="I199" s="12"/>
    </row>
    <row r="200" ht="21.0" customHeight="1">
      <c r="A200" s="9"/>
      <c r="B200" s="9"/>
      <c r="C200" s="9"/>
      <c r="D200" s="2"/>
      <c r="E200" s="3">
        <f>9326.75+IF(AND(F199&lt;&gt;"",G199&lt;&gt;""),H199,0)</f>
      </c>
      <c r="F200" s="9"/>
      <c r="G200" s="9"/>
      <c r="H200" s="3">
        <f>E200-IF(F200="",0,F200)-IF(G200="",0,G200)</f>
      </c>
      <c r="I200" s="12"/>
    </row>
    <row r="201" ht="21.0" customHeight="1">
      <c r="A201" s="9"/>
      <c r="B201" s="9"/>
      <c r="C201" s="9"/>
      <c r="D201" s="2"/>
      <c r="E201" s="3">
        <f>9326.75+IF(AND(F200&lt;&gt;"",G200&lt;&gt;""),H200,0)</f>
      </c>
      <c r="F201" s="9"/>
      <c r="G201" s="9"/>
      <c r="H201" s="3">
        <f>E201-IF(F201="",0,F201)-IF(G201="",0,G201)</f>
      </c>
      <c r="I201" s="12"/>
    </row>
    <row r="202" ht="21.0" customHeight="1">
      <c r="A202" s="9"/>
      <c r="B202" s="9"/>
      <c r="C202" s="9"/>
      <c r="D202" s="2"/>
      <c r="E202" s="3">
        <f>9326.75+IF(AND(F201&lt;&gt;"",G201&lt;&gt;""),H201,0)</f>
      </c>
      <c r="F202" s="9"/>
      <c r="G202" s="9"/>
      <c r="H202" s="3">
        <f>E202-IF(F202="",0,F202)-IF(G202="",0,G202)</f>
      </c>
      <c r="I202" s="12"/>
    </row>
    <row r="203" ht="21.0" customHeight="1">
      <c r="A203" s="9"/>
      <c r="B203" s="9"/>
      <c r="C203" s="9"/>
      <c r="D203" s="2"/>
      <c r="E203" s="3">
        <f>9326.75+IF(AND(F202&lt;&gt;"",G202&lt;&gt;""),H202,0)</f>
      </c>
      <c r="F203" s="9"/>
      <c r="G203" s="9"/>
      <c r="H203" s="3">
        <f>E203-IF(F203="",0,F203)-IF(G203="",0,G203)</f>
      </c>
      <c r="I203" s="12"/>
    </row>
    <row r="204" ht="21.0" customHeight="1">
      <c r="A204" s="9"/>
      <c r="B204" s="9"/>
      <c r="C204" s="9"/>
      <c r="D204" s="2"/>
      <c r="E204" s="3">
        <f>9326.75+IF(AND(F203&lt;&gt;"",G203&lt;&gt;""),H203,0)</f>
      </c>
      <c r="F204" s="9"/>
      <c r="G204" s="9"/>
      <c r="H204" s="3">
        <f>E204-IF(F204="",0,F204)-IF(G204="",0,G204)</f>
      </c>
      <c r="I204" s="12"/>
    </row>
    <row r="205" ht="21.0" customHeight="1">
      <c r="A205" s="9"/>
      <c r="B205" s="9"/>
      <c r="C205" s="9"/>
      <c r="D205" s="2"/>
      <c r="E205" s="3">
        <f>9326.75+IF(AND(F204&lt;&gt;"",G204&lt;&gt;""),H204,0)</f>
      </c>
      <c r="F205" s="9"/>
      <c r="G205" s="9"/>
      <c r="H205" s="3">
        <f>E205-IF(F205="",0,F205)-IF(G205="",0,G205)</f>
      </c>
      <c r="I205" s="12"/>
    </row>
    <row r="206" ht="21.0" customHeight="1">
      <c r="A206" s="9"/>
      <c r="B206" s="9"/>
      <c r="C206" s="9"/>
      <c r="D206" s="2"/>
      <c r="E206" s="3">
        <f>9326.75+IF(AND(F205&lt;&gt;"",G205&lt;&gt;""),H205,0)</f>
      </c>
      <c r="F206" s="9"/>
      <c r="G206" s="9"/>
      <c r="H206" s="3">
        <f>E206-IF(F206="",0,F206)-IF(G206="",0,G206)</f>
      </c>
      <c r="I206" s="12"/>
    </row>
    <row r="207" ht="21.0" customHeight="1">
      <c r="A207" s="9"/>
      <c r="B207" s="9"/>
      <c r="C207" s="9"/>
      <c r="D207" s="2"/>
      <c r="E207" s="3">
        <f>9326.75+IF(AND(F206&lt;&gt;"",G206&lt;&gt;""),H206,0)</f>
      </c>
      <c r="F207" s="9"/>
      <c r="G207" s="9"/>
      <c r="H207" s="3">
        <f>E207-IF(F207="",0,F207)-IF(G207="",0,G207)</f>
      </c>
      <c r="I207" s="12"/>
    </row>
    <row r="208" ht="21.0" customHeight="1">
      <c r="A208" s="9"/>
      <c r="B208" s="9"/>
      <c r="C208" s="9"/>
      <c r="D208" s="2"/>
      <c r="E208" s="3">
        <f>9326.75+IF(AND(F207&lt;&gt;"",G207&lt;&gt;""),H207,0)</f>
      </c>
      <c r="F208" s="9"/>
      <c r="G208" s="9"/>
      <c r="H208" s="3">
        <f>E208-IF(F208="",0,F208)-IF(G208="",0,G208)</f>
      </c>
      <c r="I208" s="12"/>
    </row>
    <row r="209" ht="21.0" customHeight="1">
      <c r="A209" s="9"/>
      <c r="B209" s="9"/>
      <c r="C209" s="9"/>
      <c r="D209" s="2"/>
      <c r="E209" s="3">
        <f>9326.75+IF(AND(F208&lt;&gt;"",G208&lt;&gt;""),H208,0)</f>
      </c>
      <c r="F209" s="9"/>
      <c r="G209" s="9"/>
      <c r="H209" s="3">
        <f>E209-IF(F209="",0,F209)-IF(G209="",0,G209)</f>
      </c>
      <c r="I209" s="12"/>
    </row>
    <row r="210" ht="21.0" customHeight="1">
      <c r="A210" s="9"/>
      <c r="B210" s="9"/>
      <c r="C210" s="9"/>
      <c r="D210" s="2"/>
      <c r="E210" s="3">
        <f>9326.75+IF(AND(F209&lt;&gt;"",G209&lt;&gt;""),H209,0)</f>
      </c>
      <c r="F210" s="9"/>
      <c r="G210" s="9"/>
      <c r="H210" s="3">
        <f>E210-IF(F210="",0,F210)-IF(G210="",0,G210)</f>
      </c>
      <c r="I210" s="12"/>
    </row>
    <row r="211" ht="21.0" customHeight="1">
      <c r="A211" s="9"/>
      <c r="B211" s="9"/>
      <c r="C211" s="9"/>
      <c r="D211" s="2"/>
      <c r="E211" s="3">
        <f>9326.75+IF(AND(F210&lt;&gt;"",G210&lt;&gt;""),H210,0)</f>
      </c>
      <c r="F211" s="9"/>
      <c r="G211" s="9"/>
      <c r="H211" s="3">
        <f>E211-IF(F211="",0,F211)-IF(G211="",0,G211)</f>
      </c>
      <c r="I211" s="12"/>
    </row>
    <row r="212" ht="21.0" customHeight="1">
      <c r="A212" s="9"/>
      <c r="B212" s="9"/>
      <c r="C212" s="9"/>
      <c r="D212" s="2"/>
      <c r="E212" s="3">
        <f>9326.75+IF(AND(F211&lt;&gt;"",G211&lt;&gt;""),H211,0)</f>
      </c>
      <c r="F212" s="9"/>
      <c r="G212" s="9"/>
      <c r="H212" s="3">
        <f>E212-IF(F212="",0,F212)-IF(G212="",0,G212)</f>
      </c>
      <c r="I212" s="12"/>
    </row>
    <row r="213" ht="21.0" customHeight="1">
      <c r="A213" s="9"/>
      <c r="B213" s="9"/>
      <c r="C213" s="9"/>
      <c r="D213" s="2"/>
      <c r="E213" s="3">
        <f>9326.75+IF(AND(F212&lt;&gt;"",G212&lt;&gt;""),H212,0)</f>
      </c>
      <c r="F213" s="9"/>
      <c r="G213" s="9"/>
      <c r="H213" s="3">
        <f>E213-IF(F213="",0,F213)-IF(G213="",0,G213)</f>
      </c>
      <c r="I213" s="12"/>
    </row>
    <row r="214" ht="21.0" customHeight="1">
      <c r="A214" s="9"/>
      <c r="B214" s="9"/>
      <c r="C214" s="9"/>
      <c r="D214" s="2"/>
      <c r="E214" s="3">
        <f>9326.75+IF(AND(F213&lt;&gt;"",G213&lt;&gt;""),H213,0)</f>
      </c>
      <c r="F214" s="9"/>
      <c r="G214" s="9"/>
      <c r="H214" s="3">
        <f>E214-IF(F214="",0,F214)-IF(G214="",0,G214)</f>
      </c>
      <c r="I214" s="12"/>
    </row>
    <row r="215" ht="21.0" customHeight="1">
      <c r="A215" s="9"/>
      <c r="B215" s="9"/>
      <c r="C215" s="9"/>
      <c r="D215" s="2"/>
      <c r="E215" s="3">
        <f>9326.75+IF(AND(F214&lt;&gt;"",G214&lt;&gt;""),H214,0)</f>
      </c>
      <c r="F215" s="9"/>
      <c r="G215" s="9"/>
      <c r="H215" s="3">
        <f>E215-IF(F215="",0,F215)-IF(G215="",0,G215)</f>
      </c>
      <c r="I215" s="12"/>
    </row>
    <row r="216" ht="21.0" customHeight="1">
      <c r="A216" s="9"/>
      <c r="B216" s="9"/>
      <c r="C216" s="9"/>
      <c r="D216" s="2"/>
      <c r="E216" s="3">
        <f>9326.75+IF(AND(F215&lt;&gt;"",G215&lt;&gt;""),H215,0)</f>
      </c>
      <c r="F216" s="9"/>
      <c r="G216" s="9"/>
      <c r="H216" s="3">
        <f>E216-IF(F216="",0,F216)-IF(G216="",0,G216)</f>
      </c>
      <c r="I216" s="12"/>
    </row>
    <row r="217" ht="21.0" customHeight="1">
      <c r="A217" s="9"/>
      <c r="B217" s="9"/>
      <c r="C217" s="9"/>
      <c r="D217" s="2"/>
      <c r="E217" s="3">
        <f>9326.75+IF(AND(F216&lt;&gt;"",G216&lt;&gt;""),H216,0)</f>
      </c>
      <c r="F217" s="9"/>
      <c r="G217" s="9"/>
      <c r="H217" s="3">
        <f>E217-IF(F217="",0,F217)-IF(G217="",0,G217)</f>
      </c>
      <c r="I217" s="12"/>
    </row>
    <row r="218" ht="21.0" customHeight="1">
      <c r="A218" s="9"/>
      <c r="B218" s="9"/>
      <c r="C218" s="9"/>
      <c r="D218" s="2"/>
      <c r="E218" s="3">
        <f>9326.75+IF(AND(F217&lt;&gt;"",G217&lt;&gt;""),H217,0)</f>
      </c>
      <c r="F218" s="9"/>
      <c r="G218" s="9"/>
      <c r="H218" s="3">
        <f>E218-IF(F218="",0,F218)-IF(G218="",0,G218)</f>
      </c>
      <c r="I218" s="12"/>
    </row>
    <row r="219" ht="21.0" customHeight="1">
      <c r="A219" s="9"/>
      <c r="B219" s="9"/>
      <c r="C219" s="9"/>
      <c r="D219" s="2"/>
      <c r="E219" s="3">
        <f>9326.75+IF(AND(F218&lt;&gt;"",G218&lt;&gt;""),H218,0)</f>
      </c>
      <c r="F219" s="9"/>
      <c r="G219" s="9"/>
      <c r="H219" s="3">
        <f>E219-IF(F219="",0,F219)-IF(G219="",0,G219)</f>
      </c>
      <c r="I219" s="12"/>
    </row>
    <row r="220" ht="21.0" customHeight="1">
      <c r="A220" s="9"/>
      <c r="B220" s="9"/>
      <c r="C220" s="9"/>
      <c r="D220" s="2"/>
      <c r="E220" s="3">
        <f>9326.75+IF(AND(F219&lt;&gt;"",G219&lt;&gt;""),H219,0)</f>
      </c>
      <c r="F220" s="9"/>
      <c r="G220" s="9"/>
      <c r="H220" s="3">
        <f>E220-IF(F220="",0,F220)-IF(G220="",0,G220)</f>
      </c>
      <c r="I220" s="12"/>
    </row>
    <row r="221" ht="21.0" customHeight="1">
      <c r="A221" s="9"/>
      <c r="B221" s="9"/>
      <c r="C221" s="9"/>
      <c r="D221" s="2"/>
      <c r="E221" s="3">
        <f>9326.75+IF(AND(F220&lt;&gt;"",G220&lt;&gt;""),H220,0)</f>
      </c>
      <c r="F221" s="9"/>
      <c r="G221" s="9"/>
      <c r="H221" s="3">
        <f>E221-IF(F221="",0,F221)-IF(G221="",0,G221)</f>
      </c>
      <c r="I221" s="12"/>
    </row>
    <row r="222" ht="21.0" customHeight="1">
      <c r="A222" s="9"/>
      <c r="B222" s="9"/>
      <c r="C222" s="9"/>
      <c r="D222" s="2"/>
      <c r="E222" s="3">
        <f>9326.75+IF(AND(F221&lt;&gt;"",G221&lt;&gt;""),H221,0)</f>
      </c>
      <c r="F222" s="9"/>
      <c r="G222" s="9"/>
      <c r="H222" s="3">
        <f>E222-IF(F222="",0,F222)-IF(G222="",0,G222)</f>
      </c>
      <c r="I222" s="12"/>
    </row>
    <row r="223" ht="21.0" customHeight="1">
      <c r="A223" s="9"/>
      <c r="B223" s="9"/>
      <c r="C223" s="9"/>
      <c r="D223" s="2"/>
      <c r="E223" s="3">
        <f>9326.75+IF(AND(F222&lt;&gt;"",G222&lt;&gt;""),H222,0)</f>
      </c>
      <c r="F223" s="9"/>
      <c r="G223" s="9"/>
      <c r="H223" s="3">
        <f>E223-IF(F223="",0,F223)-IF(G223="",0,G223)</f>
      </c>
      <c r="I223" s="12"/>
    </row>
    <row r="224" ht="21.0" customHeight="1">
      <c r="A224" s="9"/>
      <c r="B224" s="9"/>
      <c r="C224" s="9"/>
      <c r="D224" s="2"/>
      <c r="E224" s="3">
        <f>9326.75+IF(AND(F223&lt;&gt;"",G223&lt;&gt;""),H223,0)</f>
      </c>
      <c r="F224" s="9"/>
      <c r="G224" s="9"/>
      <c r="H224" s="3">
        <f>E224-IF(F224="",0,F224)-IF(G224="",0,G224)</f>
      </c>
      <c r="I224" s="12"/>
    </row>
    <row r="225" ht="21.0" customHeight="1">
      <c r="A225" s="9"/>
      <c r="B225" s="9"/>
      <c r="C225" s="9"/>
      <c r="D225" s="2"/>
      <c r="E225" s="3">
        <f>9326.75+IF(AND(F224&lt;&gt;"",G224&lt;&gt;""),H224,0)</f>
      </c>
      <c r="F225" s="9"/>
      <c r="G225" s="9"/>
      <c r="H225" s="3">
        <f>E225-IF(F225="",0,F225)-IF(G225="",0,G225)</f>
      </c>
      <c r="I225" s="12"/>
    </row>
    <row r="226" ht="21.0" customHeight="1">
      <c r="A226" s="9"/>
      <c r="B226" s="9"/>
      <c r="C226" s="9"/>
      <c r="D226" s="2"/>
      <c r="E226" s="3">
        <f>9326.75+IF(AND(F225&lt;&gt;"",G225&lt;&gt;""),H225,0)</f>
      </c>
      <c r="F226" s="9"/>
      <c r="G226" s="9"/>
      <c r="H226" s="3">
        <f>E226-IF(F226="",0,F226)-IF(G226="",0,G226)</f>
      </c>
      <c r="I226" s="12"/>
    </row>
    <row r="227" ht="21.0" customHeight="1">
      <c r="A227" s="9"/>
      <c r="B227" s="9"/>
      <c r="C227" s="9"/>
      <c r="D227" s="2"/>
      <c r="E227" s="3">
        <f>9326.75+IF(AND(F226&lt;&gt;"",G226&lt;&gt;""),H226,0)</f>
      </c>
      <c r="F227" s="9"/>
      <c r="G227" s="9"/>
      <c r="H227" s="3">
        <f>E227-IF(F227="",0,F227)-IF(G227="",0,G227)</f>
      </c>
      <c r="I227" s="12"/>
    </row>
    <row r="228" ht="21.0" customHeight="1">
      <c r="A228" s="9"/>
      <c r="B228" s="9"/>
      <c r="C228" s="9"/>
      <c r="D228" s="2"/>
      <c r="E228" s="3">
        <f>9326.75+IF(AND(F227&lt;&gt;"",G227&lt;&gt;""),H227,0)</f>
      </c>
      <c r="F228" s="9"/>
      <c r="G228" s="9"/>
      <c r="H228" s="3">
        <f>E228-IF(F228="",0,F228)-IF(G228="",0,G228)</f>
      </c>
      <c r="I228" s="12"/>
    </row>
    <row r="229" ht="21.0" customHeight="1">
      <c r="A229" s="9"/>
      <c r="B229" s="9"/>
      <c r="C229" s="9"/>
      <c r="D229" s="2"/>
      <c r="E229" s="3">
        <f>9326.75+IF(AND(F228&lt;&gt;"",G228&lt;&gt;""),H228,0)</f>
      </c>
      <c r="F229" s="9"/>
      <c r="G229" s="9"/>
      <c r="H229" s="3">
        <f>E229-IF(F229="",0,F229)-IF(G229="",0,G229)</f>
      </c>
      <c r="I229" s="12"/>
    </row>
    <row r="230" ht="21.0" customHeight="1">
      <c r="A230" s="9"/>
      <c r="B230" s="9"/>
      <c r="C230" s="9"/>
      <c r="D230" s="2"/>
      <c r="E230" s="3">
        <f>9326.75+IF(AND(F229&lt;&gt;"",G229&lt;&gt;""),H229,0)</f>
      </c>
      <c r="F230" s="9"/>
      <c r="G230" s="9"/>
      <c r="H230" s="3">
        <f>E230-IF(F230="",0,F230)-IF(G230="",0,G230)</f>
      </c>
      <c r="I230" s="12"/>
    </row>
    <row r="231" ht="21.0" customHeight="1">
      <c r="A231" s="9"/>
      <c r="B231" s="9"/>
      <c r="C231" s="9"/>
      <c r="D231" s="2"/>
      <c r="E231" s="3">
        <f>9326.75+IF(AND(F230&lt;&gt;"",G230&lt;&gt;""),H230,0)</f>
      </c>
      <c r="F231" s="9"/>
      <c r="G231" s="9"/>
      <c r="H231" s="3">
        <f>E231-IF(F231="",0,F231)-IF(G231="",0,G231)</f>
      </c>
      <c r="I231" s="12"/>
    </row>
    <row r="232" ht="21.0" customHeight="1">
      <c r="A232" s="9"/>
      <c r="B232" s="9"/>
      <c r="C232" s="9"/>
      <c r="D232" s="2"/>
      <c r="E232" s="3">
        <f>9326.75+IF(AND(F231&lt;&gt;"",G231&lt;&gt;""),H231,0)</f>
      </c>
      <c r="F232" s="9"/>
      <c r="G232" s="9"/>
      <c r="H232" s="3">
        <f>E232-IF(F232="",0,F232)-IF(G232="",0,G232)</f>
      </c>
      <c r="I232" s="12"/>
    </row>
    <row r="233" ht="21.0" customHeight="1">
      <c r="A233" s="9"/>
      <c r="B233" s="9"/>
      <c r="C233" s="9"/>
      <c r="D233" s="2"/>
      <c r="E233" s="3">
        <f>9326.75+IF(AND(F232&lt;&gt;"",G232&lt;&gt;""),H232,0)</f>
      </c>
      <c r="F233" s="9"/>
      <c r="G233" s="9"/>
      <c r="H233" s="3">
        <f>E233-IF(F233="",0,F233)-IF(G233="",0,G233)</f>
      </c>
      <c r="I233" s="12"/>
    </row>
    <row r="234" ht="21.0" customHeight="1">
      <c r="A234" s="9"/>
      <c r="B234" s="9"/>
      <c r="C234" s="9"/>
      <c r="D234" s="2"/>
      <c r="E234" s="3">
        <f>9326.75+IF(AND(F233&lt;&gt;"",G233&lt;&gt;""),H233,0)</f>
      </c>
      <c r="F234" s="9"/>
      <c r="G234" s="9"/>
      <c r="H234" s="3">
        <f>E234-IF(F234="",0,F234)-IF(G234="",0,G234)</f>
      </c>
      <c r="I234" s="12"/>
    </row>
    <row r="235" ht="21.0" customHeight="1">
      <c r="A235" s="9"/>
      <c r="B235" s="9"/>
      <c r="C235" s="9"/>
      <c r="D235" s="2"/>
      <c r="E235" s="3">
        <f>9326.75+IF(AND(F234&lt;&gt;"",G234&lt;&gt;""),H234,0)</f>
      </c>
      <c r="F235" s="9"/>
      <c r="G235" s="9"/>
      <c r="H235" s="3">
        <f>E235-IF(F235="",0,F235)-IF(G235="",0,G235)</f>
      </c>
      <c r="I235" s="12"/>
    </row>
    <row r="236" ht="21.0" customHeight="1">
      <c r="A236" s="9"/>
      <c r="B236" s="9"/>
      <c r="C236" s="9"/>
      <c r="D236" s="2"/>
      <c r="E236" s="3">
        <f>9326.75+IF(AND(F235&lt;&gt;"",G235&lt;&gt;""),H235,0)</f>
      </c>
      <c r="F236" s="9"/>
      <c r="G236" s="9"/>
      <c r="H236" s="3">
        <f>E236-IF(F236="",0,F236)-IF(G236="",0,G236)</f>
      </c>
      <c r="I236" s="12"/>
    </row>
    <row r="237" ht="21.0" customHeight="1">
      <c r="A237" s="9"/>
      <c r="B237" s="9"/>
      <c r="C237" s="9"/>
      <c r="D237" s="2"/>
      <c r="E237" s="3">
        <f>9326.75+IF(AND(F236&lt;&gt;"",G236&lt;&gt;""),H236,0)</f>
      </c>
      <c r="F237" s="9"/>
      <c r="G237" s="9"/>
      <c r="H237" s="3">
        <f>E237-IF(F237="",0,F237)-IF(G237="",0,G237)</f>
      </c>
      <c r="I237" s="12"/>
    </row>
    <row r="238" ht="21.0" customHeight="1">
      <c r="A238" s="9"/>
      <c r="B238" s="9"/>
      <c r="C238" s="9"/>
      <c r="D238" s="2"/>
      <c r="E238" s="3">
        <f>9326.75+IF(AND(F237&lt;&gt;"",G237&lt;&gt;""),H237,0)</f>
      </c>
      <c r="F238" s="9"/>
      <c r="G238" s="9"/>
      <c r="H238" s="3">
        <f>E238-IF(F238="",0,F238)-IF(G238="",0,G238)</f>
      </c>
      <c r="I238" s="12"/>
    </row>
    <row r="239" ht="21.0" customHeight="1">
      <c r="A239" s="9"/>
      <c r="B239" s="9"/>
      <c r="C239" s="9"/>
      <c r="D239" s="2"/>
      <c r="E239" s="3">
        <f>9326.75+IF(AND(F238&lt;&gt;"",G238&lt;&gt;""),H238,0)</f>
      </c>
      <c r="F239" s="9"/>
      <c r="G239" s="9"/>
      <c r="H239" s="3">
        <f>E239-IF(F239="",0,F239)-IF(G239="",0,G239)</f>
      </c>
      <c r="I239" s="12"/>
    </row>
    <row r="240" ht="21.0" customHeight="1">
      <c r="A240" s="9"/>
      <c r="B240" s="9"/>
      <c r="C240" s="9"/>
      <c r="D240" s="2"/>
      <c r="E240" s="3">
        <f>9326.75+IF(AND(F239&lt;&gt;"",G239&lt;&gt;""),H239,0)</f>
      </c>
      <c r="F240" s="9"/>
      <c r="G240" s="9"/>
      <c r="H240" s="3">
        <f>E240-IF(F240="",0,F240)-IF(G240="",0,G240)</f>
      </c>
      <c r="I240" s="12"/>
    </row>
    <row r="241" ht="21.0" customHeight="1">
      <c r="A241" s="9"/>
      <c r="B241" s="9"/>
      <c r="C241" s="9"/>
      <c r="D241" s="2"/>
      <c r="E241" s="3">
        <f>9326.75+IF(AND(F240&lt;&gt;"",G240&lt;&gt;""),H240,0)</f>
      </c>
      <c r="F241" s="9"/>
      <c r="G241" s="9"/>
      <c r="H241" s="3">
        <f>E241-IF(F241="",0,F241)-IF(G241="",0,G241)</f>
      </c>
      <c r="I241" s="12"/>
    </row>
    <row r="242" ht="21.0" customHeight="1">
      <c r="A242" s="9"/>
      <c r="B242" s="9"/>
      <c r="C242" s="9"/>
      <c r="D242" s="2"/>
      <c r="E242" s="3">
        <f>9326.75+IF(AND(F241&lt;&gt;"",G241&lt;&gt;""),H241,0)</f>
      </c>
      <c r="F242" s="9"/>
      <c r="G242" s="9"/>
      <c r="H242" s="3">
        <f>E242-IF(F242="",0,F242)-IF(G242="",0,G242)</f>
      </c>
      <c r="I242" s="12"/>
    </row>
    <row r="243" ht="21.0" customHeight="1">
      <c r="A243" s="9"/>
      <c r="B243" s="9"/>
      <c r="C243" s="9"/>
      <c r="D243" s="2"/>
      <c r="E243" s="3">
        <f>9326.75+IF(AND(F242&lt;&gt;"",G242&lt;&gt;""),H242,0)</f>
      </c>
      <c r="F243" s="9"/>
      <c r="G243" s="9"/>
      <c r="H243" s="3">
        <f>E243-IF(F243="",0,F243)-IF(G243="",0,G243)</f>
      </c>
      <c r="I243" s="12"/>
    </row>
    <row r="244" ht="21.0" customHeight="1">
      <c r="A244" s="9"/>
      <c r="B244" s="9"/>
      <c r="C244" s="9"/>
      <c r="D244" s="2"/>
      <c r="E244" s="3">
        <f>9326.75+IF(AND(F243&lt;&gt;"",G243&lt;&gt;""),H243,0)</f>
      </c>
      <c r="F244" s="9"/>
      <c r="G244" s="9"/>
      <c r="H244" s="3">
        <f>E244-IF(F244="",0,F244)-IF(G244="",0,G244)</f>
      </c>
      <c r="I244" s="12"/>
    </row>
    <row r="245" ht="21.0" customHeight="1">
      <c r="A245" s="9"/>
      <c r="B245" s="9"/>
      <c r="C245" s="9"/>
      <c r="D245" s="2"/>
      <c r="E245" s="3">
        <f>9326.75+IF(AND(F244&lt;&gt;"",G244&lt;&gt;""),H244,0)</f>
      </c>
      <c r="F245" s="9"/>
      <c r="G245" s="9"/>
      <c r="H245" s="3">
        <f>E245-IF(F245="",0,F245)-IF(G245="",0,G245)</f>
      </c>
      <c r="I245" s="12"/>
    </row>
    <row r="246" ht="21.0" customHeight="1">
      <c r="A246" s="9"/>
      <c r="B246" s="9"/>
      <c r="C246" s="9"/>
      <c r="D246" s="2"/>
      <c r="E246" s="3">
        <f>9326.75+IF(AND(F245&lt;&gt;"",G245&lt;&gt;""),H245,0)</f>
      </c>
      <c r="F246" s="9"/>
      <c r="G246" s="9"/>
      <c r="H246" s="3">
        <f>E246-IF(F246="",0,F246)-IF(G246="",0,G246)</f>
      </c>
      <c r="I246" s="12"/>
    </row>
    <row r="247" ht="21.0" customHeight="1">
      <c r="A247" s="9"/>
      <c r="B247" s="9"/>
      <c r="C247" s="9"/>
      <c r="D247" s="2"/>
      <c r="E247" s="3">
        <f>9326.75+IF(AND(F246&lt;&gt;"",G246&lt;&gt;""),H246,0)</f>
      </c>
      <c r="F247" s="9"/>
      <c r="G247" s="9"/>
      <c r="H247" s="3">
        <f>E247-IF(F247="",0,F247)-IF(G247="",0,G247)</f>
      </c>
      <c r="I247" s="12"/>
    </row>
    <row r="248" ht="21.0" customHeight="1">
      <c r="A248" s="9"/>
      <c r="B248" s="9"/>
      <c r="C248" s="9"/>
      <c r="D248" s="2"/>
      <c r="E248" s="3">
        <f>9326.75+IF(AND(F247&lt;&gt;"",G247&lt;&gt;""),H247,0)</f>
      </c>
      <c r="F248" s="9"/>
      <c r="G248" s="9"/>
      <c r="H248" s="3">
        <f>E248-IF(F248="",0,F248)-IF(G248="",0,G248)</f>
      </c>
      <c r="I248" s="12"/>
    </row>
    <row r="249" ht="21.0" customHeight="1">
      <c r="A249" s="9"/>
      <c r="B249" s="9"/>
      <c r="C249" s="9"/>
      <c r="D249" s="2"/>
      <c r="E249" s="3">
        <f>9326.75+IF(AND(F248&lt;&gt;"",G248&lt;&gt;""),H248,0)</f>
      </c>
      <c r="F249" s="9"/>
      <c r="G249" s="9"/>
      <c r="H249" s="3">
        <f>E249-IF(F249="",0,F249)-IF(G249="",0,G249)</f>
      </c>
      <c r="I249" s="12"/>
    </row>
    <row r="250" ht="21.0" customHeight="1">
      <c r="A250" s="9"/>
      <c r="B250" s="9"/>
      <c r="C250" s="9"/>
      <c r="D250" s="2"/>
      <c r="E250" s="3">
        <f>9326.75+IF(AND(F249&lt;&gt;"",G249&lt;&gt;""),H249,0)</f>
      </c>
      <c r="F250" s="9"/>
      <c r="G250" s="9"/>
      <c r="H250" s="3">
        <f>E250-IF(F250="",0,F250)-IF(G250="",0,G250)</f>
      </c>
      <c r="I250" s="12"/>
    </row>
    <row r="251" ht="21.0" customHeight="1">
      <c r="A251" s="9"/>
      <c r="B251" s="9"/>
      <c r="C251" s="9"/>
      <c r="D251" s="2"/>
      <c r="E251" s="3">
        <f>9326.75+IF(AND(F250&lt;&gt;"",G250&lt;&gt;""),H250,0)</f>
      </c>
      <c r="F251" s="9"/>
      <c r="G251" s="9"/>
      <c r="H251" s="3">
        <f>E251-IF(F251="",0,F251)-IF(G251="",0,G251)</f>
      </c>
      <c r="I251" s="12"/>
    </row>
    <row r="252" ht="21.0" customHeight="1">
      <c r="A252" s="9"/>
      <c r="B252" s="9"/>
      <c r="C252" s="9"/>
      <c r="D252" s="2"/>
      <c r="E252" s="3">
        <f>9326.75+IF(AND(F251&lt;&gt;"",G251&lt;&gt;""),H251,0)</f>
      </c>
      <c r="F252" s="9"/>
      <c r="G252" s="9"/>
      <c r="H252" s="3">
        <f>E252-IF(F252="",0,F252)-IF(G252="",0,G252)</f>
      </c>
      <c r="I252" s="12"/>
    </row>
    <row r="253" ht="21.0" customHeight="1">
      <c r="A253" s="9"/>
      <c r="B253" s="9"/>
      <c r="C253" s="9"/>
      <c r="D253" s="2"/>
      <c r="E253" s="3">
        <f>9326.75+IF(AND(F252&lt;&gt;"",G252&lt;&gt;""),H252,0)</f>
      </c>
      <c r="F253" s="9"/>
      <c r="G253" s="9"/>
      <c r="H253" s="3">
        <f>E253-IF(F253="",0,F253)-IF(G253="",0,G253)</f>
      </c>
      <c r="I253" s="12"/>
    </row>
    <row r="254" ht="21.0" customHeight="1">
      <c r="A254" s="9"/>
      <c r="B254" s="9"/>
      <c r="C254" s="9"/>
      <c r="D254" s="2"/>
      <c r="E254" s="3">
        <f>9326.75+IF(AND(F253&lt;&gt;"",G253&lt;&gt;""),H253,0)</f>
      </c>
      <c r="F254" s="9"/>
      <c r="G254" s="9"/>
      <c r="H254" s="3">
        <f>E254-IF(F254="",0,F254)-IF(G254="",0,G254)</f>
      </c>
      <c r="I254" s="12"/>
    </row>
    <row r="255" ht="21.0" customHeight="1">
      <c r="A255" s="9"/>
      <c r="B255" s="9"/>
      <c r="C255" s="9"/>
      <c r="D255" s="2"/>
      <c r="E255" s="3">
        <f>9326.75+IF(AND(F254&lt;&gt;"",G254&lt;&gt;""),H254,0)</f>
      </c>
      <c r="F255" s="9"/>
      <c r="G255" s="9"/>
      <c r="H255" s="3">
        <f>E255-IF(F255="",0,F255)-IF(G255="",0,G255)</f>
      </c>
      <c r="I255" s="12"/>
    </row>
    <row r="256" ht="21.0" customHeight="1">
      <c r="A256" s="9"/>
      <c r="B256" s="9"/>
      <c r="C256" s="9"/>
      <c r="D256" s="2"/>
      <c r="E256" s="3">
        <f>9326.75+IF(AND(F255&lt;&gt;"",G255&lt;&gt;""),H255,0)</f>
      </c>
      <c r="F256" s="9"/>
      <c r="G256" s="9"/>
      <c r="H256" s="3">
        <f>E256-IF(F256="",0,F256)-IF(G256="",0,G256)</f>
      </c>
      <c r="I256" s="12"/>
    </row>
    <row r="257" ht="21.0" customHeight="1">
      <c r="A257" s="9"/>
      <c r="B257" s="9"/>
      <c r="C257" s="9"/>
      <c r="D257" s="2"/>
      <c r="E257" s="3">
        <f>9326.75+IF(AND(F256&lt;&gt;"",G256&lt;&gt;""),H256,0)</f>
      </c>
      <c r="F257" s="9"/>
      <c r="G257" s="9"/>
      <c r="H257" s="3">
        <f>E257-IF(F257="",0,F257)-IF(G257="",0,G257)</f>
      </c>
      <c r="I257" s="12"/>
    </row>
    <row r="258" ht="21.0" customHeight="1">
      <c r="A258" s="9"/>
      <c r="B258" s="9"/>
      <c r="C258" s="9"/>
      <c r="D258" s="2"/>
      <c r="E258" s="3">
        <f>9326.75+IF(AND(F257&lt;&gt;"",G257&lt;&gt;""),H257,0)</f>
      </c>
      <c r="F258" s="9"/>
      <c r="G258" s="9"/>
      <c r="H258" s="3">
        <f>E258-IF(F258="",0,F258)-IF(G258="",0,G258)</f>
      </c>
      <c r="I258" s="12"/>
    </row>
    <row r="259" ht="21.0" customHeight="1">
      <c r="A259" s="9"/>
      <c r="B259" s="9"/>
      <c r="C259" s="9"/>
      <c r="D259" s="2"/>
      <c r="E259" s="3">
        <f>9326.75+IF(AND(F258&lt;&gt;"",G258&lt;&gt;""),H258,0)</f>
      </c>
      <c r="F259" s="9"/>
      <c r="G259" s="9"/>
      <c r="H259" s="3">
        <f>E259-IF(F259="",0,F259)-IF(G259="",0,G259)</f>
      </c>
      <c r="I259" s="12"/>
    </row>
    <row r="260" ht="21.0" customHeight="1">
      <c r="A260" s="9"/>
      <c r="B260" s="9"/>
      <c r="C260" s="9"/>
      <c r="D260" s="2"/>
      <c r="E260" s="3">
        <f>9326.75+IF(AND(F259&lt;&gt;"",G259&lt;&gt;""),H259,0)</f>
      </c>
      <c r="F260" s="9"/>
      <c r="G260" s="9"/>
      <c r="H260" s="3">
        <f>E260-IF(F260="",0,F260)-IF(G260="",0,G260)</f>
      </c>
      <c r="I260" s="12"/>
    </row>
    <row r="261" ht="21.0" customHeight="1">
      <c r="A261" s="9"/>
      <c r="B261" s="9"/>
      <c r="C261" s="9"/>
      <c r="D261" s="2"/>
      <c r="E261" s="3">
        <f>9326.75+IF(AND(F260&lt;&gt;"",G260&lt;&gt;""),H260,0)</f>
      </c>
      <c r="F261" s="9"/>
      <c r="G261" s="9"/>
      <c r="H261" s="3">
        <f>E261-IF(F261="",0,F261)-IF(G261="",0,G261)</f>
      </c>
      <c r="I261" s="12"/>
    </row>
    <row r="262" ht="21.0" customHeight="1">
      <c r="A262" s="9"/>
      <c r="B262" s="9"/>
      <c r="C262" s="9"/>
      <c r="D262" s="2"/>
      <c r="E262" s="3">
        <f>9326.75+IF(AND(F261&lt;&gt;"",G261&lt;&gt;""),H261,0)</f>
      </c>
      <c r="F262" s="9"/>
      <c r="G262" s="9"/>
      <c r="H262" s="3">
        <f>E262-IF(F262="",0,F262)-IF(G262="",0,G262)</f>
      </c>
      <c r="I262" s="12"/>
    </row>
    <row r="263" ht="21.0" customHeight="1">
      <c r="A263" s="9"/>
      <c r="B263" s="9"/>
      <c r="C263" s="9"/>
      <c r="D263" s="2"/>
      <c r="E263" s="3">
        <f>9326.75+IF(AND(F262&lt;&gt;"",G262&lt;&gt;""),H262,0)</f>
      </c>
      <c r="F263" s="9"/>
      <c r="G263" s="9"/>
      <c r="H263" s="3">
        <f>E263-IF(F263="",0,F263)-IF(G263="",0,G263)</f>
      </c>
      <c r="I263" s="12"/>
    </row>
    <row r="264" ht="21.0" customHeight="1">
      <c r="A264" s="9"/>
      <c r="B264" s="9"/>
      <c r="C264" s="9"/>
      <c r="D264" s="2"/>
      <c r="E264" s="3">
        <f>9326.75+IF(AND(F263&lt;&gt;"",G263&lt;&gt;""),H263,0)</f>
      </c>
      <c r="F264" s="9"/>
      <c r="G264" s="9"/>
      <c r="H264" s="3">
        <f>E264-IF(F264="",0,F264)-IF(G264="",0,G264)</f>
      </c>
      <c r="I264" s="12"/>
    </row>
    <row r="265" ht="21.0" customHeight="1">
      <c r="A265" s="9"/>
      <c r="B265" s="9"/>
      <c r="C265" s="9"/>
      <c r="D265" s="2"/>
      <c r="E265" s="3">
        <f>9326.75+IF(AND(F264&lt;&gt;"",G264&lt;&gt;""),H264,0)</f>
      </c>
      <c r="F265" s="9"/>
      <c r="G265" s="9"/>
      <c r="H265" s="3">
        <f>E265-IF(F265="",0,F265)-IF(G265="",0,G265)</f>
      </c>
      <c r="I265" s="12"/>
    </row>
    <row r="266" ht="21.0" customHeight="1">
      <c r="A266" s="9"/>
      <c r="B266" s="9"/>
      <c r="C266" s="9"/>
      <c r="D266" s="2"/>
      <c r="E266" s="3">
        <f>9326.75+IF(AND(F265&lt;&gt;"",G265&lt;&gt;""),H265,0)</f>
      </c>
      <c r="F266" s="9"/>
      <c r="G266" s="9"/>
      <c r="H266" s="3">
        <f>E266-IF(F266="",0,F266)-IF(G266="",0,G266)</f>
      </c>
      <c r="I266" s="12"/>
    </row>
    <row r="267" ht="21.0" customHeight="1">
      <c r="A267" s="9"/>
      <c r="B267" s="9"/>
      <c r="C267" s="9"/>
      <c r="D267" s="2"/>
      <c r="E267" s="3">
        <f>9326.75+IF(AND(F266&lt;&gt;"",G266&lt;&gt;""),H266,0)</f>
      </c>
      <c r="F267" s="9"/>
      <c r="G267" s="9"/>
      <c r="H267" s="3">
        <f>E267-IF(F267="",0,F267)-IF(G267="",0,G267)</f>
      </c>
      <c r="I267" s="12"/>
    </row>
    <row r="268" ht="21.0" customHeight="1">
      <c r="A268" s="9"/>
      <c r="B268" s="9"/>
      <c r="C268" s="9"/>
      <c r="D268" s="2"/>
      <c r="E268" s="3">
        <f>9326.75+IF(AND(F267&lt;&gt;"",G267&lt;&gt;""),H267,0)</f>
      </c>
      <c r="F268" s="9"/>
      <c r="G268" s="9"/>
      <c r="H268" s="3">
        <f>E268-IF(F268="",0,F268)-IF(G268="",0,G268)</f>
      </c>
      <c r="I268" s="12"/>
    </row>
    <row r="269" ht="21.0" customHeight="1">
      <c r="A269" s="9"/>
      <c r="B269" s="9"/>
      <c r="C269" s="9"/>
      <c r="D269" s="2"/>
      <c r="E269" s="3">
        <f>9326.75+IF(AND(F268&lt;&gt;"",G268&lt;&gt;""),H268,0)</f>
      </c>
      <c r="F269" s="9"/>
      <c r="G269" s="9"/>
      <c r="H269" s="3">
        <f>E269-IF(F269="",0,F269)-IF(G269="",0,G269)</f>
      </c>
      <c r="I269" s="12"/>
    </row>
    <row r="270" ht="21.0" customHeight="1">
      <c r="A270" s="9"/>
      <c r="B270" s="9"/>
      <c r="C270" s="9"/>
      <c r="D270" s="2"/>
      <c r="E270" s="3">
        <f>9326.75+IF(AND(F269&lt;&gt;"",G269&lt;&gt;""),H269,0)</f>
      </c>
      <c r="F270" s="9"/>
      <c r="G270" s="9"/>
      <c r="H270" s="3">
        <f>E270-IF(F270="",0,F270)-IF(G270="",0,G270)</f>
      </c>
      <c r="I270" s="12"/>
    </row>
    <row r="271" ht="21.0" customHeight="1">
      <c r="A271" s="9"/>
      <c r="B271" s="9"/>
      <c r="C271" s="9"/>
      <c r="D271" s="2"/>
      <c r="E271" s="3">
        <f>9326.75+IF(AND(F270&lt;&gt;"",G270&lt;&gt;""),H270,0)</f>
      </c>
      <c r="F271" s="9"/>
      <c r="G271" s="9"/>
      <c r="H271" s="3">
        <f>E271-IF(F271="",0,F271)-IF(G271="",0,G271)</f>
      </c>
      <c r="I271" s="12"/>
    </row>
    <row r="272" ht="21.0" customHeight="1">
      <c r="A272" s="9"/>
      <c r="B272" s="9"/>
      <c r="C272" s="9"/>
      <c r="D272" s="2"/>
      <c r="E272" s="3">
        <f>9326.75+IF(AND(F271&lt;&gt;"",G271&lt;&gt;""),H271,0)</f>
      </c>
      <c r="F272" s="9"/>
      <c r="G272" s="9"/>
      <c r="H272" s="3">
        <f>E272-IF(F272="",0,F272)-IF(G272="",0,G272)</f>
      </c>
      <c r="I272" s="12"/>
    </row>
    <row r="273" ht="21.0" customHeight="1">
      <c r="A273" s="9"/>
      <c r="B273" s="9"/>
      <c r="C273" s="9"/>
      <c r="D273" s="2"/>
      <c r="E273" s="3">
        <f>9326.75+IF(AND(F272&lt;&gt;"",G272&lt;&gt;""),H272,0)</f>
      </c>
      <c r="F273" s="9"/>
      <c r="G273" s="9"/>
      <c r="H273" s="3">
        <f>E273-IF(F273="",0,F273)-IF(G273="",0,G273)</f>
      </c>
      <c r="I273" s="12"/>
    </row>
    <row r="274" ht="21.0" customHeight="1">
      <c r="A274" s="9"/>
      <c r="B274" s="9"/>
      <c r="C274" s="9"/>
      <c r="D274" s="2"/>
      <c r="E274" s="3">
        <f>9326.75+IF(AND(F273&lt;&gt;"",G273&lt;&gt;""),H273,0)</f>
      </c>
      <c r="F274" s="9"/>
      <c r="G274" s="9"/>
      <c r="H274" s="3">
        <f>E274-IF(F274="",0,F274)-IF(G274="",0,G274)</f>
      </c>
      <c r="I274" s="12"/>
    </row>
    <row r="275" ht="21.0" customHeight="1">
      <c r="A275" s="9"/>
      <c r="B275" s="9"/>
      <c r="C275" s="9"/>
      <c r="D275" s="2"/>
      <c r="E275" s="3">
        <f>9326.75+IF(AND(F274&lt;&gt;"",G274&lt;&gt;""),H274,0)</f>
      </c>
      <c r="F275" s="9"/>
      <c r="G275" s="9"/>
      <c r="H275" s="3">
        <f>E275-IF(F275="",0,F275)-IF(G275="",0,G275)</f>
      </c>
      <c r="I275" s="12"/>
    </row>
    <row r="276" ht="21.0" customHeight="1">
      <c r="A276" s="9"/>
      <c r="B276" s="9"/>
      <c r="C276" s="9"/>
      <c r="D276" s="2"/>
      <c r="E276" s="3">
        <f>9326.75+IF(AND(F275&lt;&gt;"",G275&lt;&gt;""),H275,0)</f>
      </c>
      <c r="F276" s="9"/>
      <c r="G276" s="9"/>
      <c r="H276" s="3">
        <f>E276-IF(F276="",0,F276)-IF(G276="",0,G276)</f>
      </c>
      <c r="I276" s="12"/>
    </row>
    <row r="277" ht="21.0" customHeight="1">
      <c r="A277" s="9"/>
      <c r="B277" s="9"/>
      <c r="C277" s="9"/>
      <c r="D277" s="2"/>
      <c r="E277" s="3">
        <f>9326.75+IF(AND(F276&lt;&gt;"",G276&lt;&gt;""),H276,0)</f>
      </c>
      <c r="F277" s="9"/>
      <c r="G277" s="9"/>
      <c r="H277" s="3">
        <f>E277-IF(F277="",0,F277)-IF(G277="",0,G277)</f>
      </c>
      <c r="I277" s="12"/>
    </row>
    <row r="278" ht="21.0" customHeight="1">
      <c r="A278" s="9"/>
      <c r="B278" s="9"/>
      <c r="C278" s="9"/>
      <c r="D278" s="2"/>
      <c r="E278" s="3">
        <f>9326.75+IF(AND(F277&lt;&gt;"",G277&lt;&gt;""),H277,0)</f>
      </c>
      <c r="F278" s="9"/>
      <c r="G278" s="9"/>
      <c r="H278" s="3">
        <f>E278-IF(F278="",0,F278)-IF(G278="",0,G278)</f>
      </c>
      <c r="I278" s="12"/>
    </row>
    <row r="279" ht="21.0" customHeight="1">
      <c r="A279" s="9"/>
      <c r="B279" s="9"/>
      <c r="C279" s="9"/>
      <c r="D279" s="2"/>
      <c r="E279" s="3">
        <f>9326.75+IF(AND(F278&lt;&gt;"",G278&lt;&gt;""),H278,0)</f>
      </c>
      <c r="F279" s="9"/>
      <c r="G279" s="9"/>
      <c r="H279" s="3">
        <f>E279-IF(F279="",0,F279)-IF(G279="",0,G279)</f>
      </c>
      <c r="I279" s="12"/>
    </row>
    <row r="280" ht="21.0" customHeight="1">
      <c r="A280" s="9"/>
      <c r="B280" s="9"/>
      <c r="C280" s="9"/>
      <c r="D280" s="2"/>
      <c r="E280" s="3">
        <f>9326.75+IF(AND(F279&lt;&gt;"",G279&lt;&gt;""),H279,0)</f>
      </c>
      <c r="F280" s="9"/>
      <c r="G280" s="9"/>
      <c r="H280" s="3">
        <f>E280-IF(F280="",0,F280)-IF(G280="",0,G280)</f>
      </c>
      <c r="I280" s="12"/>
    </row>
    <row r="281" ht="21.0" customHeight="1">
      <c r="A281" s="9"/>
      <c r="B281" s="9"/>
      <c r="C281" s="9"/>
      <c r="D281" s="2"/>
      <c r="E281" s="3">
        <f>9326.75+IF(AND(F280&lt;&gt;"",G280&lt;&gt;""),H280,0)</f>
      </c>
      <c r="F281" s="9"/>
      <c r="G281" s="9"/>
      <c r="H281" s="3">
        <f>E281-IF(F281="",0,F281)-IF(G281="",0,G281)</f>
      </c>
      <c r="I281" s="12"/>
    </row>
    <row r="282" ht="21.0" customHeight="1">
      <c r="A282" s="9"/>
      <c r="B282" s="9"/>
      <c r="C282" s="9"/>
      <c r="D282" s="2"/>
      <c r="E282" s="3">
        <f>9326.75+IF(AND(F281&lt;&gt;"",G281&lt;&gt;""),H281,0)</f>
      </c>
      <c r="F282" s="9"/>
      <c r="G282" s="9"/>
      <c r="H282" s="3">
        <f>E282-IF(F282="",0,F282)-IF(G282="",0,G282)</f>
      </c>
      <c r="I282" s="12"/>
    </row>
    <row r="283" ht="21.0" customHeight="1">
      <c r="A283" s="9"/>
      <c r="B283" s="9"/>
      <c r="C283" s="9"/>
      <c r="D283" s="2"/>
      <c r="E283" s="3">
        <f>9326.75+IF(AND(F282&lt;&gt;"",G282&lt;&gt;""),H282,0)</f>
      </c>
      <c r="F283" s="9"/>
      <c r="G283" s="9"/>
      <c r="H283" s="3">
        <f>E283-IF(F283="",0,F283)-IF(G283="",0,G283)</f>
      </c>
      <c r="I283" s="12"/>
    </row>
    <row r="284" ht="21.0" customHeight="1">
      <c r="A284" s="9"/>
      <c r="B284" s="9"/>
      <c r="C284" s="9"/>
      <c r="D284" s="2"/>
      <c r="E284" s="3">
        <f>9326.75+IF(AND(F283&lt;&gt;"",G283&lt;&gt;""),H283,0)</f>
      </c>
      <c r="F284" s="9"/>
      <c r="G284" s="9"/>
      <c r="H284" s="3">
        <f>E284-IF(F284="",0,F284)-IF(G284="",0,G284)</f>
      </c>
      <c r="I284" s="12"/>
    </row>
    <row r="285" ht="21.0" customHeight="1">
      <c r="A285" s="9"/>
      <c r="B285" s="9"/>
      <c r="C285" s="9"/>
      <c r="D285" s="2"/>
      <c r="E285" s="3">
        <f>9326.75+IF(AND(F284&lt;&gt;"",G284&lt;&gt;""),H284,0)</f>
      </c>
      <c r="F285" s="9"/>
      <c r="G285" s="9"/>
      <c r="H285" s="3">
        <f>E285-IF(F285="",0,F285)-IF(G285="",0,G285)</f>
      </c>
      <c r="I285" s="12"/>
    </row>
    <row r="286" ht="21.0" customHeight="1">
      <c r="A286" s="9"/>
      <c r="B286" s="9"/>
      <c r="C286" s="9"/>
      <c r="D286" s="2"/>
      <c r="E286" s="3">
        <f>9326.75+IF(AND(F285&lt;&gt;"",G285&lt;&gt;""),H285,0)</f>
      </c>
      <c r="F286" s="9"/>
      <c r="G286" s="9"/>
      <c r="H286" s="3">
        <f>E286-IF(F286="",0,F286)-IF(G286="",0,G286)</f>
      </c>
      <c r="I286" s="12"/>
    </row>
    <row r="287" ht="21.0" customHeight="1">
      <c r="A287" s="9"/>
      <c r="B287" s="9"/>
      <c r="C287" s="9"/>
      <c r="D287" s="2"/>
      <c r="E287" s="3">
        <f>9326.75+IF(AND(F286&lt;&gt;"",G286&lt;&gt;""),H286,0)</f>
      </c>
      <c r="F287" s="9"/>
      <c r="G287" s="9"/>
      <c r="H287" s="3">
        <f>E287-IF(F287="",0,F287)-IF(G287="",0,G287)</f>
      </c>
      <c r="I287" s="12"/>
    </row>
    <row r="288" ht="21.0" customHeight="1">
      <c r="A288" s="9"/>
      <c r="B288" s="9"/>
      <c r="C288" s="9"/>
      <c r="D288" s="2"/>
      <c r="E288" s="3">
        <f>9326.75+IF(AND(F287&lt;&gt;"",G287&lt;&gt;""),H287,0)</f>
      </c>
      <c r="F288" s="9"/>
      <c r="G288" s="9"/>
      <c r="H288" s="3">
        <f>E288-IF(F288="",0,F288)-IF(G288="",0,G288)</f>
      </c>
      <c r="I288" s="12"/>
    </row>
    <row r="289" ht="21.0" customHeight="1">
      <c r="A289" s="9"/>
      <c r="B289" s="9"/>
      <c r="C289" s="9"/>
      <c r="D289" s="2"/>
      <c r="E289" s="3">
        <f>9326.75+IF(AND(F288&lt;&gt;"",G288&lt;&gt;""),H288,0)</f>
      </c>
      <c r="F289" s="9"/>
      <c r="G289" s="9"/>
      <c r="H289" s="3">
        <f>E289-IF(F289="",0,F289)-IF(G289="",0,G289)</f>
      </c>
      <c r="I289" s="12"/>
    </row>
    <row r="290" ht="21.0" customHeight="1">
      <c r="A290" s="9"/>
      <c r="B290" s="9"/>
      <c r="C290" s="9"/>
      <c r="D290" s="2"/>
      <c r="E290" s="3">
        <f>9326.75+IF(AND(F289&lt;&gt;"",G289&lt;&gt;""),H289,0)</f>
      </c>
      <c r="F290" s="9"/>
      <c r="G290" s="9"/>
      <c r="H290" s="3">
        <f>E290-IF(F290="",0,F290)-IF(G290="",0,G290)</f>
      </c>
      <c r="I290" s="12"/>
    </row>
    <row r="291" ht="21.0" customHeight="1">
      <c r="A291" s="9"/>
      <c r="B291" s="9"/>
      <c r="C291" s="9"/>
      <c r="D291" s="2"/>
      <c r="E291" s="3">
        <f>9326.75+IF(AND(F290&lt;&gt;"",G290&lt;&gt;""),H290,0)</f>
      </c>
      <c r="F291" s="9"/>
      <c r="G291" s="9"/>
      <c r="H291" s="3">
        <f>E291-IF(F291="",0,F291)-IF(G291="",0,G291)</f>
      </c>
      <c r="I291" s="12"/>
    </row>
    <row r="292" ht="21.0" customHeight="1">
      <c r="A292" s="9"/>
      <c r="B292" s="9"/>
      <c r="C292" s="9"/>
      <c r="D292" s="2"/>
      <c r="E292" s="3">
        <f>9326.75+IF(AND(F291&lt;&gt;"",G291&lt;&gt;""),H291,0)</f>
      </c>
      <c r="F292" s="9"/>
      <c r="G292" s="9"/>
      <c r="H292" s="3">
        <f>E292-IF(F292="",0,F292)-IF(G292="",0,G292)</f>
      </c>
      <c r="I292" s="12"/>
    </row>
    <row r="293" ht="21.0" customHeight="1">
      <c r="A293" s="9"/>
      <c r="B293" s="9"/>
      <c r="C293" s="9"/>
      <c r="D293" s="2"/>
      <c r="E293" s="3">
        <f>9326.75+IF(AND(F292&lt;&gt;"",G292&lt;&gt;""),H292,0)</f>
      </c>
      <c r="F293" s="9"/>
      <c r="G293" s="9"/>
      <c r="H293" s="3">
        <f>E293-IF(F293="",0,F293)-IF(G293="",0,G293)</f>
      </c>
      <c r="I293" s="12"/>
    </row>
    <row r="294" ht="21.0" customHeight="1">
      <c r="A294" s="9"/>
      <c r="B294" s="9"/>
      <c r="C294" s="9"/>
      <c r="D294" s="2"/>
      <c r="E294" s="3">
        <f>9326.75+IF(AND(F293&lt;&gt;"",G293&lt;&gt;""),H293,0)</f>
      </c>
      <c r="F294" s="9"/>
      <c r="G294" s="9"/>
      <c r="H294" s="3">
        <f>E294-IF(F294="",0,F294)-IF(G294="",0,G294)</f>
      </c>
      <c r="I294" s="12"/>
    </row>
    <row r="295" ht="21.0" customHeight="1">
      <c r="A295" s="9"/>
      <c r="B295" s="9"/>
      <c r="C295" s="9"/>
      <c r="D295" s="2"/>
      <c r="E295" s="3">
        <f>9326.75+IF(AND(F294&lt;&gt;"",G294&lt;&gt;""),H294,0)</f>
      </c>
      <c r="F295" s="9"/>
      <c r="G295" s="9"/>
      <c r="H295" s="3">
        <f>E295-IF(F295="",0,F295)-IF(G295="",0,G295)</f>
      </c>
      <c r="I295" s="12"/>
    </row>
    <row r="296" ht="21.0" customHeight="1">
      <c r="A296" s="9"/>
      <c r="B296" s="9"/>
      <c r="C296" s="9"/>
      <c r="D296" s="2"/>
      <c r="E296" s="3">
        <f>9326.75+IF(AND(F295&lt;&gt;"",G295&lt;&gt;""),H295,0)</f>
      </c>
      <c r="F296" s="9"/>
      <c r="G296" s="9"/>
      <c r="H296" s="3">
        <f>E296-IF(F296="",0,F296)-IF(G296="",0,G296)</f>
      </c>
      <c r="I296" s="12"/>
    </row>
    <row r="297" ht="21.0" customHeight="1">
      <c r="A297" s="9"/>
      <c r="B297" s="9"/>
      <c r="C297" s="9"/>
      <c r="D297" s="2"/>
      <c r="E297" s="3">
        <f>9326.75+IF(AND(F296&lt;&gt;"",G296&lt;&gt;""),H296,0)</f>
      </c>
      <c r="F297" s="9"/>
      <c r="G297" s="9"/>
      <c r="H297" s="3">
        <f>E297-IF(F297="",0,F297)-IF(G297="",0,G297)</f>
      </c>
      <c r="I297" s="12"/>
    </row>
    <row r="298" ht="21.0" customHeight="1">
      <c r="A298" s="9"/>
      <c r="B298" s="9"/>
      <c r="C298" s="9"/>
      <c r="D298" s="2"/>
      <c r="E298" s="3">
        <f>9326.75+IF(AND(F297&lt;&gt;"",G297&lt;&gt;""),H297,0)</f>
      </c>
      <c r="F298" s="9"/>
      <c r="G298" s="9"/>
      <c r="H298" s="3">
        <f>E298-IF(F298="",0,F298)-IF(G298="",0,G298)</f>
      </c>
      <c r="I298" s="12"/>
    </row>
    <row r="299" ht="21.0" customHeight="1">
      <c r="A299" s="9"/>
      <c r="B299" s="9"/>
      <c r="C299" s="9"/>
      <c r="D299" s="2"/>
      <c r="E299" s="3">
        <f>9326.75+IF(AND(F298&lt;&gt;"",G298&lt;&gt;""),H298,0)</f>
      </c>
      <c r="F299" s="9"/>
      <c r="G299" s="9"/>
      <c r="H299" s="3">
        <f>E299-IF(F299="",0,F299)-IF(G299="",0,G299)</f>
      </c>
      <c r="I299" s="12"/>
    </row>
    <row r="300" ht="21.0" customHeight="1">
      <c r="A300" s="9"/>
      <c r="B300" s="9"/>
      <c r="C300" s="9"/>
      <c r="D300" s="2"/>
      <c r="E300" s="3">
        <f>9326.75+IF(AND(F299&lt;&gt;"",G299&lt;&gt;""),H299,0)</f>
      </c>
      <c r="F300" s="9"/>
      <c r="G300" s="9"/>
      <c r="H300" s="3">
        <f>E300-IF(F300="",0,F300)-IF(G300="",0,G300)</f>
      </c>
      <c r="I300" s="12"/>
    </row>
    <row r="301" ht="21.0" customHeight="1">
      <c r="A301" s="9"/>
      <c r="B301" s="9"/>
      <c r="C301" s="9"/>
      <c r="D301" s="2"/>
      <c r="E301" s="3">
        <f>9326.75+IF(AND(F300&lt;&gt;"",G300&lt;&gt;""),H300,0)</f>
      </c>
      <c r="F301" s="9"/>
      <c r="G301" s="9"/>
      <c r="H301" s="3">
        <f>E301-IF(F301="",0,F301)-IF(G301="",0,G301)</f>
      </c>
      <c r="I301" s="12"/>
    </row>
    <row r="302" ht="21.0" customHeight="1">
      <c r="A302" s="9"/>
      <c r="B302" s="9"/>
      <c r="C302" s="9"/>
      <c r="D302" s="2"/>
      <c r="E302" s="3">
        <f>9326.75+IF(AND(F301&lt;&gt;"",G301&lt;&gt;""),H301,0)</f>
      </c>
      <c r="F302" s="9"/>
      <c r="G302" s="9"/>
      <c r="H302" s="3">
        <f>E302-IF(F302="",0,F302)-IF(G302="",0,G302)</f>
      </c>
      <c r="I302" s="12"/>
    </row>
    <row r="303" ht="21.0" customHeight="1">
      <c r="A303" s="9"/>
      <c r="B303" s="9"/>
      <c r="C303" s="9"/>
      <c r="D303" s="2"/>
      <c r="E303" s="3">
        <f>9326.75+IF(AND(F302&lt;&gt;"",G302&lt;&gt;""),H302,0)</f>
      </c>
      <c r="F303" s="9"/>
      <c r="G303" s="9"/>
      <c r="H303" s="3">
        <f>E303-IF(F303="",0,F303)-IF(G303="",0,G303)</f>
      </c>
      <c r="I303" s="12"/>
    </row>
    <row r="304" ht="21.0" customHeight="1">
      <c r="A304" s="9"/>
      <c r="B304" s="9"/>
      <c r="C304" s="9"/>
      <c r="D304" s="2"/>
      <c r="E304" s="3">
        <f>9326.75+IF(AND(F303&lt;&gt;"",G303&lt;&gt;""),H303,0)</f>
      </c>
      <c r="F304" s="9"/>
      <c r="G304" s="9"/>
      <c r="H304" s="3">
        <f>E304-IF(F304="",0,F304)-IF(G304="",0,G304)</f>
      </c>
      <c r="I304" s="12"/>
    </row>
    <row r="305" ht="21.0" customHeight="1">
      <c r="A305" s="9"/>
      <c r="B305" s="9"/>
      <c r="C305" s="9"/>
      <c r="D305" s="2"/>
      <c r="E305" s="3">
        <f>9326.75+IF(AND(F304&lt;&gt;"",G304&lt;&gt;""),H304,0)</f>
      </c>
      <c r="F305" s="9"/>
      <c r="G305" s="9"/>
      <c r="H305" s="3">
        <f>E305-IF(F305="",0,F305)-IF(G305="",0,G305)</f>
      </c>
      <c r="I305" s="12"/>
    </row>
    <row r="306" ht="21.0" customHeight="1">
      <c r="A306" s="9"/>
      <c r="B306" s="9"/>
      <c r="C306" s="9"/>
      <c r="D306" s="2"/>
      <c r="E306" s="3">
        <f>9326.75+IF(AND(F305&lt;&gt;"",G305&lt;&gt;""),H305,0)</f>
      </c>
      <c r="F306" s="9"/>
      <c r="G306" s="9"/>
      <c r="H306" s="3">
        <f>E306-IF(F306="",0,F306)-IF(G306="",0,G306)</f>
      </c>
      <c r="I306" s="12"/>
    </row>
    <row r="307" ht="21.0" customHeight="1">
      <c r="A307" s="9"/>
      <c r="B307" s="9"/>
      <c r="C307" s="9"/>
      <c r="D307" s="2"/>
      <c r="E307" s="3">
        <f>9326.75+IF(AND(F306&lt;&gt;"",G306&lt;&gt;""),H306,0)</f>
      </c>
      <c r="F307" s="9"/>
      <c r="G307" s="9"/>
      <c r="H307" s="3">
        <f>E307-IF(F307="",0,F307)-IF(G307="",0,G307)</f>
      </c>
      <c r="I307" s="12"/>
    </row>
    <row r="308" ht="21.0" customHeight="1">
      <c r="A308" s="9"/>
      <c r="B308" s="9"/>
      <c r="C308" s="9"/>
      <c r="D308" s="2"/>
      <c r="E308" s="3">
        <f>9326.75+IF(AND(F307&lt;&gt;"",G307&lt;&gt;""),H307,0)</f>
      </c>
      <c r="F308" s="9"/>
      <c r="G308" s="9"/>
      <c r="H308" s="3">
        <f>E308-IF(F308="",0,F308)-IF(G308="",0,G308)</f>
      </c>
      <c r="I308" s="12"/>
    </row>
    <row r="309" ht="21.0" customHeight="1">
      <c r="A309" s="9"/>
      <c r="B309" s="9"/>
      <c r="C309" s="9"/>
      <c r="D309" s="2"/>
      <c r="E309" s="3">
        <f>9326.75+IF(AND(F308&lt;&gt;"",G308&lt;&gt;""),H308,0)</f>
      </c>
      <c r="F309" s="9"/>
      <c r="G309" s="9"/>
      <c r="H309" s="3">
        <f>E309-IF(F309="",0,F309)-IF(G309="",0,G309)</f>
      </c>
      <c r="I309" s="12"/>
    </row>
    <row r="310" ht="21.0" customHeight="1">
      <c r="A310" s="9"/>
      <c r="B310" s="9"/>
      <c r="C310" s="9"/>
      <c r="D310" s="2"/>
      <c r="E310" s="3">
        <f>9326.75+IF(AND(F309&lt;&gt;"",G309&lt;&gt;""),H309,0)</f>
      </c>
      <c r="F310" s="9"/>
      <c r="G310" s="9"/>
      <c r="H310" s="3">
        <f>E310-IF(F310="",0,F310)-IF(G310="",0,G310)</f>
      </c>
      <c r="I310" s="12"/>
    </row>
    <row r="311" ht="21.0" customHeight="1">
      <c r="A311" s="9"/>
      <c r="B311" s="9"/>
      <c r="C311" s="9"/>
      <c r="D311" s="2"/>
      <c r="E311" s="3">
        <f>9326.75+IF(AND(F310&lt;&gt;"",G310&lt;&gt;""),H310,0)</f>
      </c>
      <c r="F311" s="9"/>
      <c r="G311" s="9"/>
      <c r="H311" s="3">
        <f>E311-IF(F311="",0,F311)-IF(G311="",0,G311)</f>
      </c>
      <c r="I311" s="12"/>
    </row>
    <row r="312" ht="21.0" customHeight="1">
      <c r="A312" s="9"/>
      <c r="B312" s="9"/>
      <c r="C312" s="9"/>
      <c r="D312" s="2"/>
      <c r="E312" s="3">
        <f>9326.75+IF(AND(F311&lt;&gt;"",G311&lt;&gt;""),H311,0)</f>
      </c>
      <c r="F312" s="9"/>
      <c r="G312" s="9"/>
      <c r="H312" s="3">
        <f>E312-IF(F312="",0,F312)-IF(G312="",0,G312)</f>
      </c>
      <c r="I312" s="12"/>
    </row>
    <row r="313" ht="21.0" customHeight="1">
      <c r="A313" s="9"/>
      <c r="B313" s="9"/>
      <c r="C313" s="9"/>
      <c r="D313" s="2"/>
      <c r="E313" s="3">
        <f>9326.75+IF(AND(F312&lt;&gt;"",G312&lt;&gt;""),H312,0)</f>
      </c>
      <c r="F313" s="9"/>
      <c r="G313" s="9"/>
      <c r="H313" s="3">
        <f>E313-IF(F313="",0,F313)-IF(G313="",0,G313)</f>
      </c>
      <c r="I313" s="12"/>
    </row>
    <row r="314" ht="21.0" customHeight="1">
      <c r="A314" s="9"/>
      <c r="B314" s="9"/>
      <c r="C314" s="9"/>
      <c r="D314" s="2"/>
      <c r="E314" s="3">
        <f>9326.75+IF(AND(F313&lt;&gt;"",G313&lt;&gt;""),H313,0)</f>
      </c>
      <c r="F314" s="9"/>
      <c r="G314" s="9"/>
      <c r="H314" s="3">
        <f>E314-IF(F314="",0,F314)-IF(G314="",0,G314)</f>
      </c>
      <c r="I314" s="12"/>
    </row>
    <row r="315" ht="21.0" customHeight="1">
      <c r="A315" s="9"/>
      <c r="B315" s="9"/>
      <c r="C315" s="9"/>
      <c r="D315" s="2"/>
      <c r="E315" s="3">
        <f>9326.75+IF(AND(F314&lt;&gt;"",G314&lt;&gt;""),H314,0)</f>
      </c>
      <c r="F315" s="9"/>
      <c r="G315" s="9"/>
      <c r="H315" s="3">
        <f>E315-IF(F315="",0,F315)-IF(G315="",0,G315)</f>
      </c>
      <c r="I315" s="12"/>
    </row>
    <row r="316" ht="21.0" customHeight="1">
      <c r="A316" s="9"/>
      <c r="B316" s="9"/>
      <c r="C316" s="9"/>
      <c r="D316" s="2"/>
      <c r="E316" s="3">
        <f>9326.75+IF(AND(F315&lt;&gt;"",G315&lt;&gt;""),H315,0)</f>
      </c>
      <c r="F316" s="9"/>
      <c r="G316" s="9"/>
      <c r="H316" s="3">
        <f>E316-IF(F316="",0,F316)-IF(G316="",0,G316)</f>
      </c>
      <c r="I316" s="12"/>
    </row>
    <row r="317" ht="21.0" customHeight="1">
      <c r="A317" s="9"/>
      <c r="B317" s="9"/>
      <c r="C317" s="9"/>
      <c r="D317" s="2"/>
      <c r="E317" s="3">
        <f>9326.75+IF(AND(F316&lt;&gt;"",G316&lt;&gt;""),H316,0)</f>
      </c>
      <c r="F317" s="9"/>
      <c r="G317" s="9"/>
      <c r="H317" s="3">
        <f>E317-IF(F317="",0,F317)-IF(G317="",0,G317)</f>
      </c>
      <c r="I317" s="12"/>
    </row>
    <row r="318" ht="21.0" customHeight="1">
      <c r="A318" s="9"/>
      <c r="B318" s="9"/>
      <c r="C318" s="9"/>
      <c r="D318" s="2"/>
      <c r="E318" s="3">
        <f>9326.75+IF(AND(F317&lt;&gt;"",G317&lt;&gt;""),H317,0)</f>
      </c>
      <c r="F318" s="9"/>
      <c r="G318" s="9"/>
      <c r="H318" s="3">
        <f>E318-IF(F318="",0,F318)-IF(G318="",0,G318)</f>
      </c>
      <c r="I318" s="12"/>
    </row>
    <row r="319" ht="21.0" customHeight="1">
      <c r="A319" s="9"/>
      <c r="B319" s="9"/>
      <c r="C319" s="9"/>
      <c r="D319" s="2"/>
      <c r="E319" s="3">
        <f>9326.75+IF(AND(F318&lt;&gt;"",G318&lt;&gt;""),H318,0)</f>
      </c>
      <c r="F319" s="9"/>
      <c r="G319" s="9"/>
      <c r="H319" s="3">
        <f>E319-IF(F319="",0,F319)-IF(G319="",0,G319)</f>
      </c>
      <c r="I319" s="12"/>
    </row>
    <row r="320" ht="21.0" customHeight="1">
      <c r="A320" s="9"/>
      <c r="B320" s="9"/>
      <c r="C320" s="9"/>
      <c r="D320" s="2"/>
      <c r="E320" s="3">
        <f>9326.75+IF(AND(F319&lt;&gt;"",G319&lt;&gt;""),H319,0)</f>
      </c>
      <c r="F320" s="9"/>
      <c r="G320" s="9"/>
      <c r="H320" s="3">
        <f>E320-IF(F320="",0,F320)-IF(G320="",0,G320)</f>
      </c>
      <c r="I320" s="12"/>
    </row>
    <row r="321" ht="21.0" customHeight="1">
      <c r="A321" s="9"/>
      <c r="B321" s="9"/>
      <c r="C321" s="9"/>
      <c r="D321" s="2"/>
      <c r="E321" s="3">
        <f>9326.75+IF(AND(F320&lt;&gt;"",G320&lt;&gt;""),H320,0)</f>
      </c>
      <c r="F321" s="9"/>
      <c r="G321" s="9"/>
      <c r="H321" s="3">
        <f>E321-IF(F321="",0,F321)-IF(G321="",0,G321)</f>
      </c>
      <c r="I321" s="12"/>
    </row>
    <row r="322" ht="21.0" customHeight="1">
      <c r="A322" s="9"/>
      <c r="B322" s="9"/>
      <c r="C322" s="9"/>
      <c r="D322" s="2"/>
      <c r="E322" s="3">
        <f>9326.75+IF(AND(F321&lt;&gt;"",G321&lt;&gt;""),H321,0)</f>
      </c>
      <c r="F322" s="9"/>
      <c r="G322" s="9"/>
      <c r="H322" s="3">
        <f>E322-IF(F322="",0,F322)-IF(G322="",0,G322)</f>
      </c>
      <c r="I322" s="12"/>
    </row>
    <row r="323" ht="21.0" customHeight="1">
      <c r="A323" s="9"/>
      <c r="B323" s="9"/>
      <c r="C323" s="9"/>
      <c r="D323" s="2"/>
      <c r="E323" s="3">
        <f>9326.75+IF(AND(F322&lt;&gt;"",G322&lt;&gt;""),H322,0)</f>
      </c>
      <c r="F323" s="9"/>
      <c r="G323" s="9"/>
      <c r="H323" s="3">
        <f>E323-IF(F323="",0,F323)-IF(G323="",0,G323)</f>
      </c>
      <c r="I323" s="12"/>
    </row>
    <row r="324" ht="21.0" customHeight="1">
      <c r="A324" s="9"/>
      <c r="B324" s="9"/>
      <c r="C324" s="9"/>
      <c r="D324" s="2"/>
      <c r="E324" s="3">
        <f>9326.75+IF(AND(F323&lt;&gt;"",G323&lt;&gt;""),H323,0)</f>
      </c>
      <c r="F324" s="9"/>
      <c r="G324" s="9"/>
      <c r="H324" s="3">
        <f>E324-IF(F324="",0,F324)-IF(G324="",0,G324)</f>
      </c>
      <c r="I324" s="12"/>
    </row>
    <row r="325" ht="21.0" customHeight="1">
      <c r="A325" s="9"/>
      <c r="B325" s="9"/>
      <c r="C325" s="9"/>
      <c r="D325" s="2"/>
      <c r="E325" s="3">
        <f>9326.75+IF(AND(F324&lt;&gt;"",G324&lt;&gt;""),H324,0)</f>
      </c>
      <c r="F325" s="9"/>
      <c r="G325" s="9"/>
      <c r="H325" s="3">
        <f>E325-IF(F325="",0,F325)-IF(G325="",0,G325)</f>
      </c>
      <c r="I325" s="12"/>
    </row>
    <row r="326" ht="21.0" customHeight="1">
      <c r="A326" s="9"/>
      <c r="B326" s="9"/>
      <c r="C326" s="9"/>
      <c r="D326" s="2"/>
      <c r="E326" s="3">
        <f>9326.75+IF(AND(F325&lt;&gt;"",G325&lt;&gt;""),H325,0)</f>
      </c>
      <c r="F326" s="9"/>
      <c r="G326" s="9"/>
      <c r="H326" s="3">
        <f>E326-IF(F326="",0,F326)-IF(G326="",0,G326)</f>
      </c>
      <c r="I326" s="12"/>
    </row>
    <row r="327" ht="21.0" customHeight="1">
      <c r="A327" s="9"/>
      <c r="B327" s="9"/>
      <c r="C327" s="9"/>
      <c r="D327" s="2"/>
      <c r="E327" s="3">
        <f>9326.75+IF(AND(F326&lt;&gt;"",G326&lt;&gt;""),H326,0)</f>
      </c>
      <c r="F327" s="9"/>
      <c r="G327" s="9"/>
      <c r="H327" s="3">
        <f>E327-IF(F327="",0,F327)-IF(G327="",0,G327)</f>
      </c>
      <c r="I327" s="12"/>
    </row>
    <row r="328" ht="21.0" customHeight="1">
      <c r="A328" s="9"/>
      <c r="B328" s="9"/>
      <c r="C328" s="9"/>
      <c r="D328" s="2"/>
      <c r="E328" s="3">
        <f>9326.75+IF(AND(F327&lt;&gt;"",G327&lt;&gt;""),H327,0)</f>
      </c>
      <c r="F328" s="9"/>
      <c r="G328" s="9"/>
      <c r="H328" s="3">
        <f>E328-IF(F328="",0,F328)-IF(G328="",0,G328)</f>
      </c>
      <c r="I328" s="12"/>
    </row>
    <row r="329" ht="21.0" customHeight="1">
      <c r="A329" s="9"/>
      <c r="B329" s="9"/>
      <c r="C329" s="9"/>
      <c r="D329" s="2"/>
      <c r="E329" s="3">
        <f>9326.75+IF(AND(F328&lt;&gt;"",G328&lt;&gt;""),H328,0)</f>
      </c>
      <c r="F329" s="9"/>
      <c r="G329" s="9"/>
      <c r="H329" s="3">
        <f>E329-IF(F329="",0,F329)-IF(G329="",0,G329)</f>
      </c>
      <c r="I329" s="12"/>
    </row>
    <row r="330" ht="21.0" customHeight="1">
      <c r="A330" s="9"/>
      <c r="B330" s="9"/>
      <c r="C330" s="9"/>
      <c r="D330" s="2"/>
      <c r="E330" s="3">
        <f>9326.75+IF(AND(F329&lt;&gt;"",G329&lt;&gt;""),H329,0)</f>
      </c>
      <c r="F330" s="9"/>
      <c r="G330" s="9"/>
      <c r="H330" s="3">
        <f>E330-IF(F330="",0,F330)-IF(G330="",0,G330)</f>
      </c>
      <c r="I330" s="12"/>
    </row>
    <row r="331" ht="21.0" customHeight="1">
      <c r="A331" s="9"/>
      <c r="B331" s="9"/>
      <c r="C331" s="9"/>
      <c r="D331" s="2"/>
      <c r="E331" s="3">
        <f>9326.75+IF(AND(F330&lt;&gt;"",G330&lt;&gt;""),H330,0)</f>
      </c>
      <c r="F331" s="9"/>
      <c r="G331" s="9"/>
      <c r="H331" s="3">
        <f>E331-IF(F331="",0,F331)-IF(G331="",0,G331)</f>
      </c>
      <c r="I331" s="12"/>
    </row>
    <row r="332" ht="21.0" customHeight="1">
      <c r="A332" s="9"/>
      <c r="B332" s="9"/>
      <c r="C332" s="9"/>
      <c r="D332" s="2"/>
      <c r="E332" s="3">
        <f>9326.75+IF(AND(F331&lt;&gt;"",G331&lt;&gt;""),H331,0)</f>
      </c>
      <c r="F332" s="9"/>
      <c r="G332" s="9"/>
      <c r="H332" s="3">
        <f>E332-IF(F332="",0,F332)-IF(G332="",0,G332)</f>
      </c>
      <c r="I332" s="12"/>
    </row>
    <row r="333" ht="21.0" customHeight="1">
      <c r="A333" s="9"/>
      <c r="B333" s="9"/>
      <c r="C333" s="9"/>
      <c r="D333" s="2"/>
      <c r="E333" s="3">
        <f>9326.75+IF(AND(F332&lt;&gt;"",G332&lt;&gt;""),H332,0)</f>
      </c>
      <c r="F333" s="9"/>
      <c r="G333" s="9"/>
      <c r="H333" s="3">
        <f>E333-IF(F333="",0,F333)-IF(G333="",0,G333)</f>
      </c>
      <c r="I333" s="12"/>
    </row>
    <row r="334" ht="21.0" customHeight="1">
      <c r="A334" s="9"/>
      <c r="B334" s="9"/>
      <c r="C334" s="9"/>
      <c r="D334" s="2"/>
      <c r="E334" s="3">
        <f>9326.75+IF(AND(F333&lt;&gt;"",G333&lt;&gt;""),H333,0)</f>
      </c>
      <c r="F334" s="9"/>
      <c r="G334" s="9"/>
      <c r="H334" s="3">
        <f>E334-IF(F334="",0,F334)-IF(G334="",0,G334)</f>
      </c>
      <c r="I334" s="12"/>
    </row>
    <row r="335" ht="21.0" customHeight="1">
      <c r="A335" s="9"/>
      <c r="B335" s="9"/>
      <c r="C335" s="9"/>
      <c r="D335" s="2"/>
      <c r="E335" s="3">
        <f>9326.75+IF(AND(F334&lt;&gt;"",G334&lt;&gt;""),H334,0)</f>
      </c>
      <c r="F335" s="9"/>
      <c r="G335" s="9"/>
      <c r="H335" s="3">
        <f>E335-IF(F335="",0,F335)-IF(G335="",0,G335)</f>
      </c>
      <c r="I335" s="12"/>
    </row>
    <row r="336" ht="21.0" customHeight="1">
      <c r="A336" s="9"/>
      <c r="B336" s="9"/>
      <c r="C336" s="9"/>
      <c r="D336" s="2"/>
      <c r="E336" s="3">
        <f>9326.75+IF(AND(F335&lt;&gt;"",G335&lt;&gt;""),H335,0)</f>
      </c>
      <c r="F336" s="9"/>
      <c r="G336" s="9"/>
      <c r="H336" s="3">
        <f>E336-IF(F336="",0,F336)-IF(G336="",0,G336)</f>
      </c>
      <c r="I336" s="12"/>
    </row>
    <row r="337" ht="21.0" customHeight="1">
      <c r="A337" s="9"/>
      <c r="B337" s="9"/>
      <c r="C337" s="9"/>
      <c r="D337" s="2"/>
      <c r="E337" s="3">
        <f>9326.75+IF(AND(F336&lt;&gt;"",G336&lt;&gt;""),H336,0)</f>
      </c>
      <c r="F337" s="9"/>
      <c r="G337" s="9"/>
      <c r="H337" s="3">
        <f>E337-IF(F337="",0,F337)-IF(G337="",0,G337)</f>
      </c>
      <c r="I337" s="12"/>
    </row>
    <row r="338" ht="21.0" customHeight="1">
      <c r="A338" s="9"/>
      <c r="B338" s="9"/>
      <c r="C338" s="9"/>
      <c r="D338" s="2"/>
      <c r="E338" s="3">
        <f>9326.75+IF(AND(F337&lt;&gt;"",G337&lt;&gt;""),H337,0)</f>
      </c>
      <c r="F338" s="9"/>
      <c r="G338" s="9"/>
      <c r="H338" s="3">
        <f>E338-IF(F338="",0,F338)-IF(G338="",0,G338)</f>
      </c>
      <c r="I338" s="12"/>
    </row>
    <row r="339" ht="21.0" customHeight="1">
      <c r="A339" s="9"/>
      <c r="B339" s="9"/>
      <c r="C339" s="9"/>
      <c r="D339" s="2"/>
      <c r="E339" s="3">
        <f>9326.75+IF(AND(F338&lt;&gt;"",G338&lt;&gt;""),H338,0)</f>
      </c>
      <c r="F339" s="9"/>
      <c r="G339" s="9"/>
      <c r="H339" s="3">
        <f>E339-IF(F339="",0,F339)-IF(G339="",0,G339)</f>
      </c>
      <c r="I339" s="12"/>
    </row>
    <row r="340" ht="21.0" customHeight="1">
      <c r="A340" s="9"/>
      <c r="B340" s="9"/>
      <c r="C340" s="9"/>
      <c r="D340" s="2"/>
      <c r="E340" s="3">
        <f>9326.75+IF(AND(F339&lt;&gt;"",G339&lt;&gt;""),H339,0)</f>
      </c>
      <c r="F340" s="9"/>
      <c r="G340" s="9"/>
      <c r="H340" s="3">
        <f>E340-IF(F340="",0,F340)-IF(G340="",0,G340)</f>
      </c>
      <c r="I340" s="12"/>
    </row>
    <row r="341" ht="21.0" customHeight="1">
      <c r="A341" s="9"/>
      <c r="B341" s="9"/>
      <c r="C341" s="9"/>
      <c r="D341" s="2"/>
      <c r="E341" s="3">
        <f>9326.75+IF(AND(F340&lt;&gt;"",G340&lt;&gt;""),H340,0)</f>
      </c>
      <c r="F341" s="9"/>
      <c r="G341" s="9"/>
      <c r="H341" s="3">
        <f>E341-IF(F341="",0,F341)-IF(G341="",0,G341)</f>
      </c>
      <c r="I341" s="12"/>
    </row>
    <row r="342" ht="21.0" customHeight="1">
      <c r="A342" s="9"/>
      <c r="B342" s="9"/>
      <c r="C342" s="9"/>
      <c r="D342" s="2"/>
      <c r="E342" s="3">
        <f>9326.75+IF(AND(F341&lt;&gt;"",G341&lt;&gt;""),H341,0)</f>
      </c>
      <c r="F342" s="9"/>
      <c r="G342" s="9"/>
      <c r="H342" s="3">
        <f>E342-IF(F342="",0,F342)-IF(G342="",0,G342)</f>
      </c>
      <c r="I342" s="12"/>
    </row>
    <row r="343" ht="21.0" customHeight="1">
      <c r="A343" s="9"/>
      <c r="B343" s="9"/>
      <c r="C343" s="9"/>
      <c r="D343" s="2"/>
      <c r="E343" s="3">
        <f>9326.75+IF(AND(F342&lt;&gt;"",G342&lt;&gt;""),H342,0)</f>
      </c>
      <c r="F343" s="9"/>
      <c r="G343" s="9"/>
      <c r="H343" s="3">
        <f>E343-IF(F343="",0,F343)-IF(G343="",0,G343)</f>
      </c>
      <c r="I343" s="12"/>
    </row>
    <row r="344" ht="21.0" customHeight="1">
      <c r="A344" s="9"/>
      <c r="B344" s="9"/>
      <c r="C344" s="9"/>
      <c r="D344" s="2"/>
      <c r="E344" s="3">
        <f>9326.75+IF(AND(F343&lt;&gt;"",G343&lt;&gt;""),H343,0)</f>
      </c>
      <c r="F344" s="9"/>
      <c r="G344" s="9"/>
      <c r="H344" s="3">
        <f>E344-IF(F344="",0,F344)-IF(G344="",0,G344)</f>
      </c>
      <c r="I344" s="12"/>
    </row>
    <row r="345" ht="21.0" customHeight="1">
      <c r="A345" s="9"/>
      <c r="B345" s="9"/>
      <c r="C345" s="9"/>
      <c r="D345" s="2"/>
      <c r="E345" s="3">
        <f>9326.75+IF(AND(F344&lt;&gt;"",G344&lt;&gt;""),H344,0)</f>
      </c>
      <c r="F345" s="9"/>
      <c r="G345" s="9"/>
      <c r="H345" s="3">
        <f>E345-IF(F345="",0,F345)-IF(G345="",0,G345)</f>
      </c>
      <c r="I345" s="12"/>
    </row>
    <row r="346" ht="21.0" customHeight="1">
      <c r="A346" s="9"/>
      <c r="B346" s="9"/>
      <c r="C346" s="9"/>
      <c r="D346" s="2"/>
      <c r="E346" s="3">
        <f>9326.75+IF(AND(F345&lt;&gt;"",G345&lt;&gt;""),H345,0)</f>
      </c>
      <c r="F346" s="9"/>
      <c r="G346" s="9"/>
      <c r="H346" s="3">
        <f>E346-IF(F346="",0,F346)-IF(G346="",0,G346)</f>
      </c>
      <c r="I346" s="12"/>
    </row>
    <row r="347" ht="21.0" customHeight="1">
      <c r="A347" s="9"/>
      <c r="B347" s="9"/>
      <c r="C347" s="9"/>
      <c r="D347" s="2"/>
      <c r="E347" s="3">
        <f>9326.75+IF(AND(F346&lt;&gt;"",G346&lt;&gt;""),H346,0)</f>
      </c>
      <c r="F347" s="9"/>
      <c r="G347" s="9"/>
      <c r="H347" s="3">
        <f>E347-IF(F347="",0,F347)-IF(G347="",0,G347)</f>
      </c>
      <c r="I347" s="12"/>
    </row>
    <row r="348" ht="21.0" customHeight="1">
      <c r="A348" s="9"/>
      <c r="B348" s="9"/>
      <c r="C348" s="9"/>
      <c r="D348" s="2"/>
      <c r="E348" s="3">
        <f>9326.75+IF(AND(F347&lt;&gt;"",G347&lt;&gt;""),H347,0)</f>
      </c>
      <c r="F348" s="9"/>
      <c r="G348" s="9"/>
      <c r="H348" s="3">
        <f>E348-IF(F348="",0,F348)-IF(G348="",0,G348)</f>
      </c>
      <c r="I348" s="12"/>
    </row>
    <row r="349" ht="21.0" customHeight="1">
      <c r="A349" s="9"/>
      <c r="B349" s="9"/>
      <c r="C349" s="9"/>
      <c r="D349" s="2"/>
      <c r="E349" s="3">
        <f>9326.75+IF(AND(F348&lt;&gt;"",G348&lt;&gt;""),H348,0)</f>
      </c>
      <c r="F349" s="9"/>
      <c r="G349" s="9"/>
      <c r="H349" s="3">
        <f>E349-IF(F349="",0,F349)-IF(G349="",0,G349)</f>
      </c>
      <c r="I349" s="12"/>
    </row>
    <row r="350" ht="21.0" customHeight="1">
      <c r="A350" s="9"/>
      <c r="B350" s="9"/>
      <c r="C350" s="9"/>
      <c r="D350" s="2"/>
      <c r="E350" s="3">
        <f>9326.75+IF(AND(F349&lt;&gt;"",G349&lt;&gt;""),H349,0)</f>
      </c>
      <c r="F350" s="9"/>
      <c r="G350" s="9"/>
      <c r="H350" s="3">
        <f>E350-IF(F350="",0,F350)-IF(G350="",0,G350)</f>
      </c>
      <c r="I350" s="12"/>
    </row>
    <row r="351" ht="21.0" customHeight="1">
      <c r="A351" s="9"/>
      <c r="B351" s="9"/>
      <c r="C351" s="9"/>
      <c r="D351" s="2"/>
      <c r="E351" s="3">
        <f>9326.75+IF(AND(F350&lt;&gt;"",G350&lt;&gt;""),H350,0)</f>
      </c>
      <c r="F351" s="9"/>
      <c r="G351" s="9"/>
      <c r="H351" s="3">
        <f>E351-IF(F351="",0,F351)-IF(G351="",0,G351)</f>
      </c>
      <c r="I351" s="12"/>
    </row>
    <row r="352" ht="21.0" customHeight="1">
      <c r="A352" s="9"/>
      <c r="B352" s="9"/>
      <c r="C352" s="9"/>
      <c r="D352" s="2"/>
      <c r="E352" s="3">
        <f>9326.75+IF(AND(F351&lt;&gt;"",G351&lt;&gt;""),H351,0)</f>
      </c>
      <c r="F352" s="9"/>
      <c r="G352" s="9"/>
      <c r="H352" s="3">
        <f>E352-IF(F352="",0,F352)-IF(G352="",0,G352)</f>
      </c>
      <c r="I352" s="12"/>
    </row>
    <row r="353" ht="21.0" customHeight="1">
      <c r="A353" s="9"/>
      <c r="B353" s="9"/>
      <c r="C353" s="9"/>
      <c r="D353" s="2"/>
      <c r="E353" s="3">
        <f>9326.75+IF(AND(F352&lt;&gt;"",G352&lt;&gt;""),H352,0)</f>
      </c>
      <c r="F353" s="9"/>
      <c r="G353" s="9"/>
      <c r="H353" s="3">
        <f>E353-IF(F353="",0,F353)-IF(G353="",0,G353)</f>
      </c>
      <c r="I353" s="12"/>
    </row>
    <row r="354" ht="21.0" customHeight="1">
      <c r="A354" s="9"/>
      <c r="B354" s="9"/>
      <c r="C354" s="9"/>
      <c r="D354" s="2"/>
      <c r="E354" s="3">
        <f>9326.75+IF(AND(F353&lt;&gt;"",G353&lt;&gt;""),H353,0)</f>
      </c>
      <c r="F354" s="9"/>
      <c r="G354" s="9"/>
      <c r="H354" s="3">
        <f>E354-IF(F354="",0,F354)-IF(G354="",0,G354)</f>
      </c>
      <c r="I354" s="12"/>
    </row>
    <row r="355" ht="21.0" customHeight="1">
      <c r="A355" s="9"/>
      <c r="B355" s="9"/>
      <c r="C355" s="9"/>
      <c r="D355" s="2"/>
      <c r="E355" s="3">
        <f>9326.75+IF(AND(F354&lt;&gt;"",G354&lt;&gt;""),H354,0)</f>
      </c>
      <c r="F355" s="9"/>
      <c r="G355" s="9"/>
      <c r="H355" s="3">
        <f>E355-IF(F355="",0,F355)-IF(G355="",0,G355)</f>
      </c>
      <c r="I355" s="12"/>
    </row>
    <row r="356" ht="21.0" customHeight="1">
      <c r="A356" s="9"/>
      <c r="B356" s="9"/>
      <c r="C356" s="9"/>
      <c r="D356" s="2"/>
      <c r="E356" s="3">
        <f>9326.75+IF(AND(F355&lt;&gt;"",G355&lt;&gt;""),H355,0)</f>
      </c>
      <c r="F356" s="9"/>
      <c r="G356" s="9"/>
      <c r="H356" s="3">
        <f>E356-IF(F356="",0,F356)-IF(G356="",0,G356)</f>
      </c>
      <c r="I356" s="12"/>
    </row>
    <row r="357" ht="21.0" customHeight="1">
      <c r="A357" s="9"/>
      <c r="B357" s="9"/>
      <c r="C357" s="9"/>
      <c r="D357" s="2"/>
      <c r="E357" s="3">
        <f>9326.75+IF(AND(F356&lt;&gt;"",G356&lt;&gt;""),H356,0)</f>
      </c>
      <c r="F357" s="9"/>
      <c r="G357" s="9"/>
      <c r="H357" s="3">
        <f>E357-IF(F357="",0,F357)-IF(G357="",0,G357)</f>
      </c>
      <c r="I357" s="12"/>
    </row>
    <row r="358" ht="21.0" customHeight="1">
      <c r="A358" s="9"/>
      <c r="B358" s="9"/>
      <c r="C358" s="9"/>
      <c r="D358" s="2"/>
      <c r="E358" s="3">
        <f>9326.75+IF(AND(F357&lt;&gt;"",G357&lt;&gt;""),H357,0)</f>
      </c>
      <c r="F358" s="9"/>
      <c r="G358" s="9"/>
      <c r="H358" s="3">
        <f>E358-IF(F358="",0,F358)-IF(G358="",0,G358)</f>
      </c>
      <c r="I358" s="12"/>
    </row>
    <row r="359" ht="21.0" customHeight="1">
      <c r="A359" s="9"/>
      <c r="B359" s="9"/>
      <c r="C359" s="9"/>
      <c r="D359" s="2"/>
      <c r="E359" s="3">
        <f>9326.75+IF(AND(F358&lt;&gt;"",G358&lt;&gt;""),H358,0)</f>
      </c>
      <c r="F359" s="9"/>
      <c r="G359" s="9"/>
      <c r="H359" s="3">
        <f>E359-IF(F359="",0,F359)-IF(G359="",0,G359)</f>
      </c>
      <c r="I359" s="12"/>
    </row>
    <row r="360" ht="21.0" customHeight="1">
      <c r="A360" s="9"/>
      <c r="B360" s="9"/>
      <c r="C360" s="9"/>
      <c r="D360" s="2"/>
      <c r="E360" s="3">
        <f>9326.75+IF(AND(F359&lt;&gt;"",G359&lt;&gt;""),H359,0)</f>
      </c>
      <c r="F360" s="9"/>
      <c r="G360" s="9"/>
      <c r="H360" s="3">
        <f>E360-IF(F360="",0,F360)-IF(G360="",0,G360)</f>
      </c>
      <c r="I360" s="12"/>
    </row>
    <row r="361" ht="21.0" customHeight="1">
      <c r="A361" s="9"/>
      <c r="B361" s="9"/>
      <c r="C361" s="9"/>
      <c r="D361" s="2"/>
      <c r="E361" s="3">
        <f>9326.75+IF(AND(F360&lt;&gt;"",G360&lt;&gt;""),H360,0)</f>
      </c>
      <c r="F361" s="9"/>
      <c r="G361" s="9"/>
      <c r="H361" s="3">
        <f>E361-IF(F361="",0,F361)-IF(G361="",0,G361)</f>
      </c>
      <c r="I361" s="12"/>
    </row>
    <row r="362" ht="21.0" customHeight="1">
      <c r="A362" s="9"/>
      <c r="B362" s="9"/>
      <c r="C362" s="9"/>
      <c r="D362" s="2"/>
      <c r="E362" s="3">
        <f>9326.75+IF(AND(F361&lt;&gt;"",G361&lt;&gt;""),H361,0)</f>
      </c>
      <c r="F362" s="9"/>
      <c r="G362" s="9"/>
      <c r="H362" s="3">
        <f>E362-IF(F362="",0,F362)-IF(G362="",0,G362)</f>
      </c>
      <c r="I362" s="12"/>
    </row>
    <row r="363" ht="21.0" customHeight="1">
      <c r="A363" s="9"/>
      <c r="B363" s="9"/>
      <c r="C363" s="9"/>
      <c r="D363" s="2"/>
      <c r="E363" s="3">
        <f>9326.75+IF(AND(F362&lt;&gt;"",G362&lt;&gt;""),H362,0)</f>
      </c>
      <c r="F363" s="9"/>
      <c r="G363" s="9"/>
      <c r="H363" s="3">
        <f>E363-IF(F363="",0,F363)-IF(G363="",0,G363)</f>
      </c>
      <c r="I363" s="12"/>
    </row>
    <row r="364" ht="21.0" customHeight="1">
      <c r="A364" s="9"/>
      <c r="B364" s="9"/>
      <c r="C364" s="9"/>
      <c r="D364" s="2"/>
      <c r="E364" s="3">
        <f>9326.75+IF(AND(F363&lt;&gt;"",G363&lt;&gt;""),H363,0)</f>
      </c>
      <c r="F364" s="9"/>
      <c r="G364" s="9"/>
      <c r="H364" s="3">
        <f>E364-IF(F364="",0,F364)-IF(G364="",0,G364)</f>
      </c>
      <c r="I364" s="12"/>
    </row>
    <row r="365" ht="21.0" customHeight="1">
      <c r="A365" s="9"/>
      <c r="B365" s="9"/>
      <c r="C365" s="9"/>
      <c r="D365" s="2"/>
      <c r="E365" s="3">
        <f>9326.75+IF(AND(F364&lt;&gt;"",G364&lt;&gt;""),H364,0)</f>
      </c>
      <c r="F365" s="9"/>
      <c r="G365" s="9"/>
      <c r="H365" s="3">
        <f>E365-IF(F365="",0,F365)-IF(G365="",0,G365)</f>
      </c>
      <c r="I365" s="12"/>
    </row>
    <row r="366" ht="21.0" customHeight="1">
      <c r="A366" s="9"/>
      <c r="B366" s="9"/>
      <c r="C366" s="9"/>
      <c r="D366" s="2"/>
      <c r="E366" s="3">
        <f>9326.75+IF(AND(F365&lt;&gt;"",G365&lt;&gt;""),H365,0)</f>
      </c>
      <c r="F366" s="9"/>
      <c r="G366" s="9"/>
      <c r="H366" s="3">
        <f>E366-IF(F366="",0,F366)-IF(G366="",0,G366)</f>
      </c>
      <c r="I366" s="12"/>
    </row>
    <row r="367" ht="21.0" customHeight="1">
      <c r="A367" s="9"/>
      <c r="B367" s="9"/>
      <c r="C367" s="9"/>
      <c r="D367" s="2"/>
      <c r="E367" s="3">
        <f>9326.75+IF(AND(F366&lt;&gt;"",G366&lt;&gt;""),H366,0)</f>
      </c>
      <c r="F367" s="9"/>
      <c r="G367" s="9"/>
      <c r="H367" s="3">
        <f>E367-IF(F367="",0,F367)-IF(G367="",0,G367)</f>
      </c>
      <c r="I367" s="12"/>
    </row>
    <row r="368" ht="21.0" customHeight="1">
      <c r="A368" s="9"/>
      <c r="B368" s="9"/>
      <c r="C368" s="9"/>
      <c r="D368" s="2"/>
      <c r="E368" s="3">
        <f>9326.75+IF(AND(F367&lt;&gt;"",G367&lt;&gt;""),H367,0)</f>
      </c>
      <c r="F368" s="9"/>
      <c r="G368" s="9"/>
      <c r="H368" s="3">
        <f>E368-IF(F368="",0,F368)-IF(G368="",0,G368)</f>
      </c>
      <c r="I368" s="12"/>
    </row>
    <row r="369" ht="21.0" customHeight="1">
      <c r="A369" s="9"/>
      <c r="B369" s="9"/>
      <c r="C369" s="9"/>
      <c r="D369" s="2"/>
      <c r="E369" s="3">
        <f>9326.75+IF(AND(F368&lt;&gt;"",G368&lt;&gt;""),H368,0)</f>
      </c>
      <c r="F369" s="9"/>
      <c r="G369" s="9"/>
      <c r="H369" s="3">
        <f>E369-IF(F369="",0,F369)-IF(G369="",0,G369)</f>
      </c>
      <c r="I369" s="12"/>
    </row>
    <row r="370" ht="21.0" customHeight="1">
      <c r="A370" s="9"/>
      <c r="B370" s="9"/>
      <c r="C370" s="9"/>
      <c r="D370" s="2"/>
      <c r="E370" s="3">
        <f>9326.75+IF(AND(F369&lt;&gt;"",G369&lt;&gt;""),H369,0)</f>
      </c>
      <c r="F370" s="9"/>
      <c r="G370" s="9"/>
      <c r="H370" s="3">
        <f>E370-IF(F370="",0,F370)-IF(G370="",0,G370)</f>
      </c>
      <c r="I370" s="12"/>
    </row>
    <row r="371" ht="21.0" customHeight="1">
      <c r="A371" s="9"/>
      <c r="B371" s="9"/>
      <c r="C371" s="9"/>
      <c r="D371" s="2"/>
      <c r="E371" s="3">
        <f>9326.75+IF(AND(F370&lt;&gt;"",G370&lt;&gt;""),H370,0)</f>
      </c>
      <c r="F371" s="9"/>
      <c r="G371" s="9"/>
      <c r="H371" s="3">
        <f>E371-IF(F371="",0,F371)-IF(G371="",0,G371)</f>
      </c>
      <c r="I371" s="12"/>
    </row>
    <row r="372" ht="21.0" customHeight="1">
      <c r="A372" s="9"/>
      <c r="B372" s="9"/>
      <c r="C372" s="9"/>
      <c r="D372" s="2"/>
      <c r="E372" s="3">
        <f>9326.75+IF(AND(F371&lt;&gt;"",G371&lt;&gt;""),H371,0)</f>
      </c>
      <c r="F372" s="9"/>
      <c r="G372" s="9"/>
      <c r="H372" s="3">
        <f>E372-IF(F372="",0,F372)-IF(G372="",0,G372)</f>
      </c>
      <c r="I372" s="12"/>
    </row>
    <row r="373" ht="21.0" customHeight="1">
      <c r="A373" s="9"/>
      <c r="B373" s="9"/>
      <c r="C373" s="9"/>
      <c r="D373" s="2"/>
      <c r="E373" s="3">
        <f>9326.75+IF(AND(F372&lt;&gt;"",G372&lt;&gt;""),H372,0)</f>
      </c>
      <c r="F373" s="9"/>
      <c r="G373" s="9"/>
      <c r="H373" s="3">
        <f>E373-IF(F373="",0,F373)-IF(G373="",0,G373)</f>
      </c>
      <c r="I373" s="12"/>
    </row>
    <row r="374" ht="21.0" customHeight="1">
      <c r="A374" s="9"/>
      <c r="B374" s="9"/>
      <c r="C374" s="9"/>
      <c r="D374" s="2"/>
      <c r="E374" s="3">
        <f>9326.75+IF(AND(F373&lt;&gt;"",G373&lt;&gt;""),H373,0)</f>
      </c>
      <c r="F374" s="9"/>
      <c r="G374" s="9"/>
      <c r="H374" s="3">
        <f>E374-IF(F374="",0,F374)-IF(G374="",0,G374)</f>
      </c>
      <c r="I374" s="12"/>
    </row>
    <row r="375" ht="21.0" customHeight="1">
      <c r="A375" s="9"/>
      <c r="B375" s="9"/>
      <c r="C375" s="9"/>
      <c r="D375" s="2"/>
      <c r="E375" s="3">
        <f>9326.75+IF(AND(F374&lt;&gt;"",G374&lt;&gt;""),H374,0)</f>
      </c>
      <c r="F375" s="9"/>
      <c r="G375" s="9"/>
      <c r="H375" s="3">
        <f>E375-IF(F375="",0,F375)-IF(G375="",0,G375)</f>
      </c>
      <c r="I375" s="12"/>
    </row>
    <row r="376" ht="21.0" customHeight="1">
      <c r="A376" s="9"/>
      <c r="B376" s="9"/>
      <c r="C376" s="9"/>
      <c r="D376" s="2"/>
      <c r="E376" s="3">
        <f>9326.75+IF(AND(F375&lt;&gt;"",G375&lt;&gt;""),H375,0)</f>
      </c>
      <c r="F376" s="9"/>
      <c r="G376" s="9"/>
      <c r="H376" s="3">
        <f>E376-IF(F376="",0,F376)-IF(G376="",0,G376)</f>
      </c>
      <c r="I376" s="12"/>
    </row>
    <row r="377" ht="21.0" customHeight="1">
      <c r="A377" s="9"/>
      <c r="B377" s="9"/>
      <c r="C377" s="9"/>
      <c r="D377" s="2"/>
      <c r="E377" s="3">
        <f>9326.75+IF(AND(F376&lt;&gt;"",G376&lt;&gt;""),H376,0)</f>
      </c>
      <c r="F377" s="9"/>
      <c r="G377" s="9"/>
      <c r="H377" s="3">
        <f>E377-IF(F377="",0,F377)-IF(G377="",0,G377)</f>
      </c>
      <c r="I377" s="12"/>
    </row>
    <row r="378" ht="21.0" customHeight="1">
      <c r="A378" s="9"/>
      <c r="B378" s="9"/>
      <c r="C378" s="9"/>
      <c r="D378" s="2"/>
      <c r="E378" s="3">
        <f>9326.75+IF(AND(F377&lt;&gt;"",G377&lt;&gt;""),H377,0)</f>
      </c>
      <c r="F378" s="9"/>
      <c r="G378" s="9"/>
      <c r="H378" s="3">
        <f>E378-IF(F378="",0,F378)-IF(G378="",0,G378)</f>
      </c>
      <c r="I378" s="12"/>
    </row>
    <row r="379" ht="21.0" customHeight="1">
      <c r="A379" s="9"/>
      <c r="B379" s="9"/>
      <c r="C379" s="9"/>
      <c r="D379" s="2"/>
      <c r="E379" s="3">
        <f>9326.75+IF(AND(F378&lt;&gt;"",G378&lt;&gt;""),H378,0)</f>
      </c>
      <c r="F379" s="9"/>
      <c r="G379" s="9"/>
      <c r="H379" s="3">
        <f>E379-IF(F379="",0,F379)-IF(G379="",0,G379)</f>
      </c>
      <c r="I379" s="12"/>
    </row>
    <row r="380" ht="21.0" customHeight="1">
      <c r="A380" s="9"/>
      <c r="B380" s="9"/>
      <c r="C380" s="9"/>
      <c r="D380" s="2"/>
      <c r="E380" s="3">
        <f>9326.75+IF(AND(F379&lt;&gt;"",G379&lt;&gt;""),H379,0)</f>
      </c>
      <c r="F380" s="9"/>
      <c r="G380" s="9"/>
      <c r="H380" s="3">
        <f>E380-IF(F380="",0,F380)-IF(G380="",0,G380)</f>
      </c>
      <c r="I380" s="12"/>
    </row>
    <row r="381" ht="21.0" customHeight="1">
      <c r="A381" s="9"/>
      <c r="B381" s="9"/>
      <c r="C381" s="9"/>
      <c r="D381" s="2"/>
      <c r="E381" s="3">
        <f>9326.75+IF(AND(F380&lt;&gt;"",G380&lt;&gt;""),H380,0)</f>
      </c>
      <c r="F381" s="9"/>
      <c r="G381" s="9"/>
      <c r="H381" s="3">
        <f>E381-IF(F381="",0,F381)-IF(G381="",0,G381)</f>
      </c>
      <c r="I381" s="12"/>
    </row>
    <row r="382" ht="21.0" customHeight="1">
      <c r="A382" s="9"/>
      <c r="B382" s="9"/>
      <c r="C382" s="9"/>
      <c r="D382" s="2"/>
      <c r="E382" s="3">
        <f>9326.75+IF(AND(F381&lt;&gt;"",G381&lt;&gt;""),H381,0)</f>
      </c>
      <c r="F382" s="9"/>
      <c r="G382" s="9"/>
      <c r="H382" s="3">
        <f>E382-IF(F382="",0,F382)-IF(G382="",0,G382)</f>
      </c>
      <c r="I382" s="12"/>
    </row>
    <row r="383" ht="21.0" customHeight="1">
      <c r="A383" s="9"/>
      <c r="B383" s="9"/>
      <c r="C383" s="9"/>
      <c r="D383" s="2"/>
      <c r="E383" s="3">
        <f>9326.75+IF(AND(F382&lt;&gt;"",G382&lt;&gt;""),H382,0)</f>
      </c>
      <c r="F383" s="9"/>
      <c r="G383" s="9"/>
      <c r="H383" s="3">
        <f>E383-IF(F383="",0,F383)-IF(G383="",0,G383)</f>
      </c>
      <c r="I383" s="12"/>
    </row>
    <row r="384" ht="21.0" customHeight="1">
      <c r="A384" s="9"/>
      <c r="B384" s="9"/>
      <c r="C384" s="9"/>
      <c r="D384" s="2"/>
      <c r="E384" s="3">
        <f>9326.75+IF(AND(F383&lt;&gt;"",G383&lt;&gt;""),H383,0)</f>
      </c>
      <c r="F384" s="9"/>
      <c r="G384" s="9"/>
      <c r="H384" s="3">
        <f>E384-IF(F384="",0,F384)-IF(G384="",0,G384)</f>
      </c>
      <c r="I384" s="12"/>
    </row>
    <row r="385" ht="21.0" customHeight="1">
      <c r="A385" s="9"/>
      <c r="B385" s="9"/>
      <c r="C385" s="9"/>
      <c r="D385" s="2"/>
      <c r="E385" s="3">
        <f>9326.75+IF(AND(F384&lt;&gt;"",G384&lt;&gt;""),H384,0)</f>
      </c>
      <c r="F385" s="9"/>
      <c r="G385" s="9"/>
      <c r="H385" s="3">
        <f>E385-IF(F385="",0,F385)-IF(G385="",0,G385)</f>
      </c>
      <c r="I385" s="12"/>
    </row>
    <row r="386" ht="21.0" customHeight="1">
      <c r="A386" s="9"/>
      <c r="B386" s="9"/>
      <c r="C386" s="9"/>
      <c r="D386" s="2"/>
      <c r="E386" s="3">
        <f>9326.75+IF(AND(F385&lt;&gt;"",G385&lt;&gt;""),H385,0)</f>
      </c>
      <c r="F386" s="9"/>
      <c r="G386" s="9"/>
      <c r="H386" s="3">
        <f>E386-IF(F386="",0,F386)-IF(G386="",0,G386)</f>
      </c>
      <c r="I386" s="12"/>
    </row>
    <row r="387" ht="21.0" customHeight="1">
      <c r="A387" s="9"/>
      <c r="B387" s="9"/>
      <c r="C387" s="9"/>
      <c r="D387" s="2"/>
      <c r="E387" s="3">
        <f>9326.75+IF(AND(F386&lt;&gt;"",G386&lt;&gt;""),H386,0)</f>
      </c>
      <c r="F387" s="9"/>
      <c r="G387" s="9"/>
      <c r="H387" s="3">
        <f>E387-IF(F387="",0,F387)-IF(G387="",0,G387)</f>
      </c>
      <c r="I387" s="12"/>
    </row>
    <row r="388" ht="21.0" customHeight="1">
      <c r="A388" s="9"/>
      <c r="B388" s="9"/>
      <c r="C388" s="9"/>
      <c r="D388" s="2"/>
      <c r="E388" s="3">
        <f>9326.75+IF(AND(F387&lt;&gt;"",G387&lt;&gt;""),H387,0)</f>
      </c>
      <c r="F388" s="9"/>
      <c r="G388" s="9"/>
      <c r="H388" s="3">
        <f>E388-IF(F388="",0,F388)-IF(G388="",0,G388)</f>
      </c>
      <c r="I388" s="12"/>
    </row>
    <row r="389" ht="21.0" customHeight="1">
      <c r="A389" s="9"/>
      <c r="B389" s="9"/>
      <c r="C389" s="9"/>
      <c r="D389" s="2"/>
      <c r="E389" s="3">
        <f>9326.75+IF(AND(F388&lt;&gt;"",G388&lt;&gt;""),H388,0)</f>
      </c>
      <c r="F389" s="9"/>
      <c r="G389" s="9"/>
      <c r="H389" s="3">
        <f>E389-IF(F389="",0,F389)-IF(G389="",0,G389)</f>
      </c>
      <c r="I389" s="12"/>
    </row>
    <row r="390" ht="21.0" customHeight="1">
      <c r="A390" s="9"/>
      <c r="B390" s="9"/>
      <c r="C390" s="9"/>
      <c r="D390" s="2"/>
      <c r="E390" s="3">
        <f>9326.75+IF(AND(F389&lt;&gt;"",G389&lt;&gt;""),H389,0)</f>
      </c>
      <c r="F390" s="9"/>
      <c r="G390" s="9"/>
      <c r="H390" s="3">
        <f>E390-IF(F390="",0,F390)-IF(G390="",0,G390)</f>
      </c>
      <c r="I390" s="12"/>
    </row>
    <row r="391" ht="21.0" customHeight="1">
      <c r="A391" s="9"/>
      <c r="B391" s="9"/>
      <c r="C391" s="9"/>
      <c r="D391" s="2"/>
      <c r="E391" s="3">
        <f>9326.75+IF(AND(F390&lt;&gt;"",G390&lt;&gt;""),H390,0)</f>
      </c>
      <c r="F391" s="9"/>
      <c r="G391" s="9"/>
      <c r="H391" s="3">
        <f>E391-IF(F391="",0,F391)-IF(G391="",0,G391)</f>
      </c>
      <c r="I391" s="12"/>
    </row>
    <row r="392" ht="21.0" customHeight="1">
      <c r="A392" s="9"/>
      <c r="B392" s="9"/>
      <c r="C392" s="9"/>
      <c r="D392" s="2"/>
      <c r="E392" s="3">
        <f>9326.75+IF(AND(F391&lt;&gt;"",G391&lt;&gt;""),H391,0)</f>
      </c>
      <c r="F392" s="9"/>
      <c r="G392" s="9"/>
      <c r="H392" s="3">
        <f>E392-IF(F392="",0,F392)-IF(G392="",0,G392)</f>
      </c>
      <c r="I392" s="12"/>
    </row>
    <row r="393" ht="21.0" customHeight="1">
      <c r="A393" s="9"/>
      <c r="B393" s="9"/>
      <c r="C393" s="9"/>
      <c r="D393" s="2"/>
      <c r="E393" s="3">
        <f>9326.75+IF(AND(F392&lt;&gt;"",G392&lt;&gt;""),H392,0)</f>
      </c>
      <c r="F393" s="9"/>
      <c r="G393" s="9"/>
      <c r="H393" s="3">
        <f>E393-IF(F393="",0,F393)-IF(G393="",0,G393)</f>
      </c>
      <c r="I393" s="12"/>
    </row>
    <row r="394" ht="21.0" customHeight="1">
      <c r="A394" s="9"/>
      <c r="B394" s="9"/>
      <c r="C394" s="9"/>
      <c r="D394" s="2"/>
      <c r="E394" s="3">
        <f>9326.75+IF(AND(F393&lt;&gt;"",G393&lt;&gt;""),H393,0)</f>
      </c>
      <c r="F394" s="9"/>
      <c r="G394" s="9"/>
      <c r="H394" s="3">
        <f>E394-IF(F394="",0,F394)-IF(G394="",0,G394)</f>
      </c>
      <c r="I394" s="12"/>
    </row>
    <row r="395" ht="21.0" customHeight="1">
      <c r="A395" s="9"/>
      <c r="B395" s="9"/>
      <c r="C395" s="9"/>
      <c r="D395" s="2"/>
      <c r="E395" s="3">
        <f>9326.75+IF(AND(F394&lt;&gt;"",G394&lt;&gt;""),H394,0)</f>
      </c>
      <c r="F395" s="9"/>
      <c r="G395" s="9"/>
      <c r="H395" s="3">
        <f>E395-IF(F395="",0,F395)-IF(G395="",0,G395)</f>
      </c>
      <c r="I395" s="12"/>
    </row>
    <row r="396" ht="21.0" customHeight="1">
      <c r="A396" s="9"/>
      <c r="B396" s="9"/>
      <c r="C396" s="9"/>
      <c r="D396" s="2"/>
      <c r="E396" s="3">
        <f>9326.75+IF(AND(F395&lt;&gt;"",G395&lt;&gt;""),H395,0)</f>
      </c>
      <c r="F396" s="9"/>
      <c r="G396" s="9"/>
      <c r="H396" s="3">
        <f>E396-IF(F396="",0,F396)-IF(G396="",0,G396)</f>
      </c>
      <c r="I396" s="12"/>
    </row>
    <row r="397" ht="21.0" customHeight="1">
      <c r="A397" s="9"/>
      <c r="B397" s="9"/>
      <c r="C397" s="9"/>
      <c r="D397" s="2"/>
      <c r="E397" s="3">
        <f>9326.75+IF(AND(F396&lt;&gt;"",G396&lt;&gt;""),H396,0)</f>
      </c>
      <c r="F397" s="9"/>
      <c r="G397" s="9"/>
      <c r="H397" s="3">
        <f>E397-IF(F397="",0,F397)-IF(G397="",0,G397)</f>
      </c>
      <c r="I397" s="12"/>
    </row>
    <row r="398" ht="21.0" customHeight="1">
      <c r="A398" s="9"/>
      <c r="B398" s="9"/>
      <c r="C398" s="9"/>
      <c r="D398" s="2"/>
      <c r="E398" s="3">
        <f>9326.75+IF(AND(F397&lt;&gt;"",G397&lt;&gt;""),H397,0)</f>
      </c>
      <c r="F398" s="9"/>
      <c r="G398" s="9"/>
      <c r="H398" s="3">
        <f>E398-IF(F398="",0,F398)-IF(G398="",0,G398)</f>
      </c>
      <c r="I398" s="12"/>
    </row>
    <row r="399" ht="21.0" customHeight="1">
      <c r="A399" s="9"/>
      <c r="B399" s="9"/>
      <c r="C399" s="9"/>
      <c r="D399" s="2"/>
      <c r="E399" s="3">
        <f>9326.75+IF(AND(F398&lt;&gt;"",G398&lt;&gt;""),H398,0)</f>
      </c>
      <c r="F399" s="9"/>
      <c r="G399" s="9"/>
      <c r="H399" s="3">
        <f>E399-IF(F399="",0,F399)-IF(G399="",0,G399)</f>
      </c>
      <c r="I399" s="12"/>
    </row>
    <row r="400" ht="21.0" customHeight="1">
      <c r="A400" s="9"/>
      <c r="B400" s="9"/>
      <c r="C400" s="9"/>
      <c r="D400" s="2"/>
      <c r="E400" s="3">
        <f>9326.75+IF(AND(F399&lt;&gt;"",G399&lt;&gt;""),H399,0)</f>
      </c>
      <c r="F400" s="9"/>
      <c r="G400" s="9"/>
      <c r="H400" s="3">
        <f>E400-IF(F400="",0,F400)-IF(G400="",0,G400)</f>
      </c>
      <c r="I400" s="12"/>
    </row>
    <row r="401" ht="21.0" customHeight="1">
      <c r="A401" s="9"/>
      <c r="B401" s="9"/>
      <c r="C401" s="9"/>
      <c r="D401" s="2"/>
      <c r="E401" s="3">
        <f>9326.75+IF(AND(F400&lt;&gt;"",G400&lt;&gt;""),H400,0)</f>
      </c>
      <c r="F401" s="9"/>
      <c r="G401" s="9"/>
      <c r="H401" s="3">
        <f>E401-IF(F401="",0,F401)-IF(G401="",0,G401)</f>
      </c>
      <c r="I401" s="12"/>
    </row>
    <row r="402" ht="21.0" customHeight="1">
      <c r="A402" s="9"/>
      <c r="B402" s="9"/>
      <c r="C402" s="9"/>
      <c r="D402" s="2"/>
      <c r="E402" s="3">
        <f>9326.75+IF(AND(F401&lt;&gt;"",G401&lt;&gt;""),H401,0)</f>
      </c>
      <c r="F402" s="9"/>
      <c r="G402" s="9"/>
      <c r="H402" s="3">
        <f>E402-IF(F402="",0,F402)-IF(G402="",0,G402)</f>
      </c>
      <c r="I402" s="12"/>
    </row>
    <row r="403" ht="21.0" customHeight="1">
      <c r="A403" s="9"/>
      <c r="B403" s="9"/>
      <c r="C403" s="9"/>
      <c r="D403" s="2"/>
      <c r="E403" s="3">
        <f>9326.75+IF(AND(F402&lt;&gt;"",G402&lt;&gt;""),H402,0)</f>
      </c>
      <c r="F403" s="9"/>
      <c r="G403" s="9"/>
      <c r="H403" s="3">
        <f>E403-IF(F403="",0,F403)-IF(G403="",0,G403)</f>
      </c>
      <c r="I403" s="12"/>
    </row>
    <row r="404" ht="21.0" customHeight="1">
      <c r="A404" s="9"/>
      <c r="B404" s="9"/>
      <c r="C404" s="9"/>
      <c r="D404" s="2"/>
      <c r="E404" s="3">
        <f>9326.75+IF(AND(F403&lt;&gt;"",G403&lt;&gt;""),H403,0)</f>
      </c>
      <c r="F404" s="9"/>
      <c r="G404" s="9"/>
      <c r="H404" s="3">
        <f>E404-IF(F404="",0,F404)-IF(G404="",0,G404)</f>
      </c>
      <c r="I404" s="12"/>
    </row>
    <row r="405" ht="21.0" customHeight="1">
      <c r="A405" s="9"/>
      <c r="B405" s="9"/>
      <c r="C405" s="9"/>
      <c r="D405" s="2"/>
      <c r="E405" s="3">
        <f>9326.75+IF(AND(F404&lt;&gt;"",G404&lt;&gt;""),H404,0)</f>
      </c>
      <c r="F405" s="9"/>
      <c r="G405" s="9"/>
      <c r="H405" s="3">
        <f>E405-IF(F405="",0,F405)-IF(G405="",0,G405)</f>
      </c>
      <c r="I405" s="12"/>
    </row>
    <row r="406" ht="21.0" customHeight="1">
      <c r="A406" s="9"/>
      <c r="B406" s="9"/>
      <c r="C406" s="9"/>
      <c r="D406" s="2"/>
      <c r="E406" s="3">
        <f>9326.75+IF(AND(F405&lt;&gt;"",G405&lt;&gt;""),H405,0)</f>
      </c>
      <c r="F406" s="9"/>
      <c r="G406" s="9"/>
      <c r="H406" s="3">
        <f>E406-IF(F406="",0,F406)-IF(G406="",0,G406)</f>
      </c>
      <c r="I406" s="12"/>
    </row>
    <row r="407" ht="21.0" customHeight="1">
      <c r="A407" s="9"/>
      <c r="B407" s="9"/>
      <c r="C407" s="9"/>
      <c r="D407" s="2"/>
      <c r="E407" s="3">
        <f>9326.75+IF(AND(F406&lt;&gt;"",G406&lt;&gt;""),H406,0)</f>
      </c>
      <c r="F407" s="9"/>
      <c r="G407" s="9"/>
      <c r="H407" s="3">
        <f>E407-IF(F407="",0,F407)-IF(G407="",0,G407)</f>
      </c>
      <c r="I407" s="12"/>
    </row>
    <row r="408" ht="21.0" customHeight="1">
      <c r="A408" s="9"/>
      <c r="B408" s="9"/>
      <c r="C408" s="9"/>
      <c r="D408" s="2"/>
      <c r="E408" s="3">
        <f>9326.75+IF(AND(F407&lt;&gt;"",G407&lt;&gt;""),H407,0)</f>
      </c>
      <c r="F408" s="9"/>
      <c r="G408" s="9"/>
      <c r="H408" s="3">
        <f>E408-IF(F408="",0,F408)-IF(G408="",0,G408)</f>
      </c>
      <c r="I408" s="12"/>
    </row>
    <row r="409" ht="21.0" customHeight="1">
      <c r="A409" s="9"/>
      <c r="B409" s="9"/>
      <c r="C409" s="9"/>
      <c r="D409" s="2"/>
      <c r="E409" s="3">
        <f>9326.75+IF(AND(F408&lt;&gt;"",G408&lt;&gt;""),H408,0)</f>
      </c>
      <c r="F409" s="9"/>
      <c r="G409" s="9"/>
      <c r="H409" s="3">
        <f>E409-IF(F409="",0,F409)-IF(G409="",0,G409)</f>
      </c>
      <c r="I409" s="12"/>
    </row>
    <row r="410" ht="21.0" customHeight="1">
      <c r="A410" s="9"/>
      <c r="B410" s="9"/>
      <c r="C410" s="9"/>
      <c r="D410" s="2"/>
      <c r="E410" s="3">
        <f>9326.75+IF(AND(F409&lt;&gt;"",G409&lt;&gt;""),H409,0)</f>
      </c>
      <c r="F410" s="9"/>
      <c r="G410" s="9"/>
      <c r="H410" s="3">
        <f>E410-IF(F410="",0,F410)-IF(G410="",0,G410)</f>
      </c>
      <c r="I410" s="12"/>
    </row>
    <row r="411" ht="21.0" customHeight="1">
      <c r="A411" s="9"/>
      <c r="B411" s="9"/>
      <c r="C411" s="9"/>
      <c r="D411" s="2"/>
      <c r="E411" s="3">
        <f>9326.75+IF(AND(F410&lt;&gt;"",G410&lt;&gt;""),H410,0)</f>
      </c>
      <c r="F411" s="9"/>
      <c r="G411" s="9"/>
      <c r="H411" s="3">
        <f>E411-IF(F411="",0,F411)-IF(G411="",0,G411)</f>
      </c>
      <c r="I411" s="12"/>
    </row>
    <row r="412" ht="21.0" customHeight="1">
      <c r="A412" s="9"/>
      <c r="B412" s="9"/>
      <c r="C412" s="9"/>
      <c r="D412" s="2"/>
      <c r="E412" s="3">
        <f>9326.75+IF(AND(F411&lt;&gt;"",G411&lt;&gt;""),H411,0)</f>
      </c>
      <c r="F412" s="9"/>
      <c r="G412" s="9"/>
      <c r="H412" s="3">
        <f>E412-IF(F412="",0,F412)-IF(G412="",0,G412)</f>
      </c>
      <c r="I412" s="12"/>
    </row>
    <row r="413" ht="21.0" customHeight="1">
      <c r="A413" s="9"/>
      <c r="B413" s="9"/>
      <c r="C413" s="9"/>
      <c r="D413" s="2"/>
      <c r="E413" s="3">
        <f>9326.75+IF(AND(F412&lt;&gt;"",G412&lt;&gt;""),H412,0)</f>
      </c>
      <c r="F413" s="9"/>
      <c r="G413" s="9"/>
      <c r="H413" s="3">
        <f>E413-IF(F413="",0,F413)-IF(G413="",0,G413)</f>
      </c>
      <c r="I413" s="12"/>
    </row>
    <row r="414" ht="21.0" customHeight="1">
      <c r="A414" s="9"/>
      <c r="B414" s="9"/>
      <c r="C414" s="9"/>
      <c r="D414" s="2"/>
      <c r="E414" s="3">
        <f>9326.75+IF(AND(F413&lt;&gt;"",G413&lt;&gt;""),H413,0)</f>
      </c>
      <c r="F414" s="9"/>
      <c r="G414" s="9"/>
      <c r="H414" s="3">
        <f>E414-IF(F414="",0,F414)-IF(G414="",0,G414)</f>
      </c>
      <c r="I414" s="12"/>
    </row>
    <row r="415" ht="21.0" customHeight="1">
      <c r="A415" s="9"/>
      <c r="B415" s="9"/>
      <c r="C415" s="9"/>
      <c r="D415" s="2"/>
      <c r="E415" s="3">
        <f>9326.75+IF(AND(F414&lt;&gt;"",G414&lt;&gt;""),H414,0)</f>
      </c>
      <c r="F415" s="9"/>
      <c r="G415" s="9"/>
      <c r="H415" s="3">
        <f>E415-IF(F415="",0,F415)-IF(G415="",0,G415)</f>
      </c>
      <c r="I415" s="12"/>
    </row>
    <row r="416" ht="21.0" customHeight="1">
      <c r="A416" s="9"/>
      <c r="B416" s="9"/>
      <c r="C416" s="9"/>
      <c r="D416" s="2"/>
      <c r="E416" s="3">
        <f>9326.75+IF(AND(F415&lt;&gt;"",G415&lt;&gt;""),H415,0)</f>
      </c>
      <c r="F416" s="9"/>
      <c r="G416" s="9"/>
      <c r="H416" s="3">
        <f>E416-IF(F416="",0,F416)-IF(G416="",0,G416)</f>
      </c>
      <c r="I416" s="12"/>
    </row>
    <row r="417" ht="21.0" customHeight="1">
      <c r="A417" s="9"/>
      <c r="B417" s="9"/>
      <c r="C417" s="9"/>
      <c r="D417" s="2"/>
      <c r="E417" s="3">
        <f>9326.75+IF(AND(F416&lt;&gt;"",G416&lt;&gt;""),H416,0)</f>
      </c>
      <c r="F417" s="9"/>
      <c r="G417" s="9"/>
      <c r="H417" s="3">
        <f>E417-IF(F417="",0,F417)-IF(G417="",0,G417)</f>
      </c>
      <c r="I417" s="12"/>
    </row>
    <row r="418" ht="21.0" customHeight="1">
      <c r="A418" s="9"/>
      <c r="B418" s="9"/>
      <c r="C418" s="9"/>
      <c r="D418" s="2"/>
      <c r="E418" s="3">
        <f>9326.75+IF(AND(F417&lt;&gt;"",G417&lt;&gt;""),H417,0)</f>
      </c>
      <c r="F418" s="9"/>
      <c r="G418" s="9"/>
      <c r="H418" s="3">
        <f>E418-IF(F418="",0,F418)-IF(G418="",0,G418)</f>
      </c>
      <c r="I418" s="12"/>
    </row>
    <row r="419" ht="21.0" customHeight="1">
      <c r="A419" s="9"/>
      <c r="B419" s="9"/>
      <c r="C419" s="9"/>
      <c r="D419" s="2"/>
      <c r="E419" s="3">
        <f>9326.75+IF(AND(F418&lt;&gt;"",G418&lt;&gt;""),H418,0)</f>
      </c>
      <c r="F419" s="9"/>
      <c r="G419" s="9"/>
      <c r="H419" s="3">
        <f>E419-IF(F419="",0,F419)-IF(G419="",0,G419)</f>
      </c>
      <c r="I419" s="12"/>
    </row>
    <row r="420" ht="21.0" customHeight="1">
      <c r="A420" s="9"/>
      <c r="B420" s="9"/>
      <c r="C420" s="9"/>
      <c r="D420" s="2"/>
      <c r="E420" s="3">
        <f>9326.75+IF(AND(F419&lt;&gt;"",G419&lt;&gt;""),H419,0)</f>
      </c>
      <c r="F420" s="9"/>
      <c r="G420" s="9"/>
      <c r="H420" s="3">
        <f>E420-IF(F420="",0,F420)-IF(G420="",0,G420)</f>
      </c>
      <c r="I420" s="12"/>
    </row>
    <row r="421" ht="21.0" customHeight="1">
      <c r="A421" s="9"/>
      <c r="B421" s="9"/>
      <c r="C421" s="9"/>
      <c r="D421" s="2"/>
      <c r="E421" s="3">
        <f>9326.75+IF(AND(F420&lt;&gt;"",G420&lt;&gt;""),H420,0)</f>
      </c>
      <c r="F421" s="9"/>
      <c r="G421" s="9"/>
      <c r="H421" s="3">
        <f>E421-IF(F421="",0,F421)-IF(G421="",0,G421)</f>
      </c>
      <c r="I421" s="12"/>
    </row>
    <row r="422" ht="21.0" customHeight="1">
      <c r="A422" s="9"/>
      <c r="B422" s="9"/>
      <c r="C422" s="9"/>
      <c r="D422" s="2"/>
      <c r="E422" s="3">
        <f>9326.75+IF(AND(F421&lt;&gt;"",G421&lt;&gt;""),H421,0)</f>
      </c>
      <c r="F422" s="9"/>
      <c r="G422" s="9"/>
      <c r="H422" s="3">
        <f>E422-IF(F422="",0,F422)-IF(G422="",0,G422)</f>
      </c>
      <c r="I422" s="12"/>
    </row>
    <row r="423" ht="21.0" customHeight="1">
      <c r="A423" s="9"/>
      <c r="B423" s="9"/>
      <c r="C423" s="9"/>
      <c r="D423" s="2"/>
      <c r="E423" s="3">
        <f>9326.75+IF(AND(F422&lt;&gt;"",G422&lt;&gt;""),H422,0)</f>
      </c>
      <c r="F423" s="9"/>
      <c r="G423" s="9"/>
      <c r="H423" s="3">
        <f>E423-IF(F423="",0,F423)-IF(G423="",0,G423)</f>
      </c>
      <c r="I423" s="12"/>
    </row>
    <row r="424" ht="21.0" customHeight="1">
      <c r="A424" s="9"/>
      <c r="B424" s="9"/>
      <c r="C424" s="9"/>
      <c r="D424" s="2"/>
      <c r="E424" s="3">
        <f>9326.75+IF(AND(F423&lt;&gt;"",G423&lt;&gt;""),H423,0)</f>
      </c>
      <c r="F424" s="9"/>
      <c r="G424" s="9"/>
      <c r="H424" s="3">
        <f>E424-IF(F424="",0,F424)-IF(G424="",0,G424)</f>
      </c>
      <c r="I424" s="12"/>
    </row>
    <row r="425" ht="21.0" customHeight="1">
      <c r="A425" s="9"/>
      <c r="B425" s="9"/>
      <c r="C425" s="9"/>
      <c r="D425" s="2"/>
      <c r="E425" s="3">
        <f>9326.75+IF(AND(F424&lt;&gt;"",G424&lt;&gt;""),H424,0)</f>
      </c>
      <c r="F425" s="9"/>
      <c r="G425" s="9"/>
      <c r="H425" s="3">
        <f>E425-IF(F425="",0,F425)-IF(G425="",0,G425)</f>
      </c>
      <c r="I425" s="12"/>
    </row>
    <row r="426" ht="21.0" customHeight="1">
      <c r="A426" s="9"/>
      <c r="B426" s="9"/>
      <c r="C426" s="9"/>
      <c r="D426" s="2"/>
      <c r="E426" s="3">
        <f>9326.75+IF(AND(F425&lt;&gt;"",G425&lt;&gt;""),H425,0)</f>
      </c>
      <c r="F426" s="9"/>
      <c r="G426" s="9"/>
      <c r="H426" s="3">
        <f>E426-IF(F426="",0,F426)-IF(G426="",0,G426)</f>
      </c>
      <c r="I426" s="12"/>
    </row>
    <row r="427" ht="21.0" customHeight="1">
      <c r="A427" s="9"/>
      <c r="B427" s="9"/>
      <c r="C427" s="9"/>
      <c r="D427" s="2"/>
      <c r="E427" s="3">
        <f>9326.75+IF(AND(F426&lt;&gt;"",G426&lt;&gt;""),H426,0)</f>
      </c>
      <c r="F427" s="9"/>
      <c r="G427" s="9"/>
      <c r="H427" s="3">
        <f>E427-IF(F427="",0,F427)-IF(G427="",0,G427)</f>
      </c>
      <c r="I427" s="12"/>
    </row>
    <row r="428" ht="21.0" customHeight="1">
      <c r="A428" s="9"/>
      <c r="B428" s="9"/>
      <c r="C428" s="9"/>
      <c r="D428" s="2"/>
      <c r="E428" s="3">
        <f>9326.75+IF(AND(F427&lt;&gt;"",G427&lt;&gt;""),H427,0)</f>
      </c>
      <c r="F428" s="9"/>
      <c r="G428" s="9"/>
      <c r="H428" s="3">
        <f>E428-IF(F428="",0,F428)-IF(G428="",0,G428)</f>
      </c>
      <c r="I428" s="12"/>
    </row>
    <row r="429" ht="21.0" customHeight="1">
      <c r="A429" s="9"/>
      <c r="B429" s="9"/>
      <c r="C429" s="9"/>
      <c r="D429" s="2"/>
      <c r="E429" s="3">
        <f>9326.75+IF(AND(F428&lt;&gt;"",G428&lt;&gt;""),H428,0)</f>
      </c>
      <c r="F429" s="9"/>
      <c r="G429" s="9"/>
      <c r="H429" s="3">
        <f>E429-IF(F429="",0,F429)-IF(G429="",0,G429)</f>
      </c>
      <c r="I429" s="12"/>
    </row>
    <row r="430" ht="21.0" customHeight="1">
      <c r="A430" s="9"/>
      <c r="B430" s="9"/>
      <c r="C430" s="9"/>
      <c r="D430" s="2"/>
      <c r="E430" s="3">
        <f>9326.75+IF(AND(F429&lt;&gt;"",G429&lt;&gt;""),H429,0)</f>
      </c>
      <c r="F430" s="9"/>
      <c r="G430" s="9"/>
      <c r="H430" s="3">
        <f>E430-IF(F430="",0,F430)-IF(G430="",0,G430)</f>
      </c>
      <c r="I430" s="12"/>
    </row>
    <row r="431" ht="21.0" customHeight="1">
      <c r="A431" s="9"/>
      <c r="B431" s="9"/>
      <c r="C431" s="9"/>
      <c r="D431" s="2"/>
      <c r="E431" s="3">
        <f>9326.75+IF(AND(F430&lt;&gt;"",G430&lt;&gt;""),H430,0)</f>
      </c>
      <c r="F431" s="9"/>
      <c r="G431" s="9"/>
      <c r="H431" s="3">
        <f>E431-IF(F431="",0,F431)-IF(G431="",0,G431)</f>
      </c>
      <c r="I431" s="12"/>
    </row>
    <row r="432" ht="21.0" customHeight="1">
      <c r="A432" s="9"/>
      <c r="B432" s="9"/>
      <c r="C432" s="9"/>
      <c r="D432" s="2"/>
      <c r="E432" s="3">
        <f>9326.75+IF(AND(F431&lt;&gt;"",G431&lt;&gt;""),H431,0)</f>
      </c>
      <c r="F432" s="9"/>
      <c r="G432" s="9"/>
      <c r="H432" s="3">
        <f>E432-IF(F432="",0,F432)-IF(G432="",0,G432)</f>
      </c>
      <c r="I432" s="12"/>
    </row>
    <row r="433" ht="21.0" customHeight="1">
      <c r="A433" s="9"/>
      <c r="B433" s="9"/>
      <c r="C433" s="9"/>
      <c r="D433" s="2"/>
      <c r="E433" s="3">
        <f>9326.75+IF(AND(F432&lt;&gt;"",G432&lt;&gt;""),H432,0)</f>
      </c>
      <c r="F433" s="9"/>
      <c r="G433" s="9"/>
      <c r="H433" s="3">
        <f>E433-IF(F433="",0,F433)-IF(G433="",0,G433)</f>
      </c>
      <c r="I433" s="12"/>
    </row>
    <row r="434" ht="21.0" customHeight="1">
      <c r="A434" s="9"/>
      <c r="B434" s="9"/>
      <c r="C434" s="9"/>
      <c r="D434" s="2"/>
      <c r="E434" s="3">
        <f>9326.75+IF(AND(F433&lt;&gt;"",G433&lt;&gt;""),H433,0)</f>
      </c>
      <c r="F434" s="9"/>
      <c r="G434" s="9"/>
      <c r="H434" s="3">
        <f>E434-IF(F434="",0,F434)-IF(G434="",0,G434)</f>
      </c>
      <c r="I434" s="12"/>
    </row>
    <row r="435" ht="21.0" customHeight="1">
      <c r="A435" s="9"/>
      <c r="B435" s="9"/>
      <c r="C435" s="9"/>
      <c r="D435" s="2"/>
      <c r="E435" s="3">
        <f>9326.75+IF(AND(F434&lt;&gt;"",G434&lt;&gt;""),H434,0)</f>
      </c>
      <c r="F435" s="9"/>
      <c r="G435" s="9"/>
      <c r="H435" s="3">
        <f>E435-IF(F435="",0,F435)-IF(G435="",0,G435)</f>
      </c>
      <c r="I435" s="12"/>
    </row>
    <row r="436" ht="21.0" customHeight="1">
      <c r="A436" s="9"/>
      <c r="B436" s="9"/>
      <c r="C436" s="9"/>
      <c r="D436" s="2"/>
      <c r="E436" s="3">
        <f>9326.75+IF(AND(F435&lt;&gt;"",G435&lt;&gt;""),H435,0)</f>
      </c>
      <c r="F436" s="9"/>
      <c r="G436" s="9"/>
      <c r="H436" s="3">
        <f>E436-IF(F436="",0,F436)-IF(G436="",0,G436)</f>
      </c>
      <c r="I436" s="12"/>
    </row>
    <row r="437" ht="21.0" customHeight="1">
      <c r="A437" s="9"/>
      <c r="B437" s="9"/>
      <c r="C437" s="9"/>
      <c r="D437" s="2"/>
      <c r="E437" s="3">
        <f>9326.75+IF(AND(F436&lt;&gt;"",G436&lt;&gt;""),H436,0)</f>
      </c>
      <c r="F437" s="9"/>
      <c r="G437" s="9"/>
      <c r="H437" s="3">
        <f>E437-IF(F437="",0,F437)-IF(G437="",0,G437)</f>
      </c>
      <c r="I437" s="12"/>
    </row>
    <row r="438" ht="21.0" customHeight="1">
      <c r="A438" s="9"/>
      <c r="B438" s="9"/>
      <c r="C438" s="9"/>
      <c r="D438" s="2"/>
      <c r="E438" s="3">
        <f>9326.75+IF(AND(F437&lt;&gt;"",G437&lt;&gt;""),H437,0)</f>
      </c>
      <c r="F438" s="9"/>
      <c r="G438" s="9"/>
      <c r="H438" s="3">
        <f>E438-IF(F438="",0,F438)-IF(G438="",0,G438)</f>
      </c>
      <c r="I438" s="12"/>
    </row>
    <row r="439" ht="21.0" customHeight="1">
      <c r="A439" s="9"/>
      <c r="B439" s="9"/>
      <c r="C439" s="9"/>
      <c r="D439" s="2"/>
      <c r="E439" s="3">
        <f>9326.75+IF(AND(F438&lt;&gt;"",G438&lt;&gt;""),H438,0)</f>
      </c>
      <c r="F439" s="9"/>
      <c r="G439" s="9"/>
      <c r="H439" s="3">
        <f>E439-IF(F439="",0,F439)-IF(G439="",0,G439)</f>
      </c>
      <c r="I439" s="12"/>
    </row>
    <row r="440" ht="21.0" customHeight="1">
      <c r="A440" s="9"/>
      <c r="B440" s="9"/>
      <c r="C440" s="9"/>
      <c r="D440" s="2"/>
      <c r="E440" s="3">
        <f>9326.75+IF(AND(F439&lt;&gt;"",G439&lt;&gt;""),H439,0)</f>
      </c>
      <c r="F440" s="9"/>
      <c r="G440" s="9"/>
      <c r="H440" s="3">
        <f>E440-IF(F440="",0,F440)-IF(G440="",0,G440)</f>
      </c>
      <c r="I440" s="12"/>
    </row>
    <row r="441" ht="21.0" customHeight="1">
      <c r="A441" s="9"/>
      <c r="B441" s="9"/>
      <c r="C441" s="9"/>
      <c r="D441" s="2"/>
      <c r="E441" s="3">
        <f>9326.75+IF(AND(F440&lt;&gt;"",G440&lt;&gt;""),H440,0)</f>
      </c>
      <c r="F441" s="9"/>
      <c r="G441" s="9"/>
      <c r="H441" s="3">
        <f>E441-IF(F441="",0,F441)-IF(G441="",0,G441)</f>
      </c>
      <c r="I441" s="12"/>
    </row>
    <row r="442" ht="21.0" customHeight="1">
      <c r="A442" s="9"/>
      <c r="B442" s="9"/>
      <c r="C442" s="9"/>
      <c r="D442" s="2"/>
      <c r="E442" s="3">
        <f>9326.75+IF(AND(F441&lt;&gt;"",G441&lt;&gt;""),H441,0)</f>
      </c>
      <c r="F442" s="9"/>
      <c r="G442" s="9"/>
      <c r="H442" s="3">
        <f>E442-IF(F442="",0,F442)-IF(G442="",0,G442)</f>
      </c>
      <c r="I442" s="12"/>
    </row>
    <row r="443" ht="21.0" customHeight="1">
      <c r="A443" s="9"/>
      <c r="B443" s="9"/>
      <c r="C443" s="9"/>
      <c r="D443" s="2"/>
      <c r="E443" s="3">
        <f>9326.75+IF(AND(F442&lt;&gt;"",G442&lt;&gt;""),H442,0)</f>
      </c>
      <c r="F443" s="9"/>
      <c r="G443" s="9"/>
      <c r="H443" s="3">
        <f>E443-IF(F443="",0,F443)-IF(G443="",0,G443)</f>
      </c>
      <c r="I443" s="12"/>
    </row>
    <row r="444" ht="21.0" customHeight="1">
      <c r="A444" s="9"/>
      <c r="B444" s="9"/>
      <c r="C444" s="9"/>
      <c r="D444" s="2"/>
      <c r="E444" s="3">
        <f>9326.75+IF(AND(F443&lt;&gt;"",G443&lt;&gt;""),H443,0)</f>
      </c>
      <c r="F444" s="9"/>
      <c r="G444" s="9"/>
      <c r="H444" s="3">
        <f>E444-IF(F444="",0,F444)-IF(G444="",0,G444)</f>
      </c>
      <c r="I444" s="12"/>
    </row>
    <row r="445" ht="21.0" customHeight="1">
      <c r="A445" s="9"/>
      <c r="B445" s="9"/>
      <c r="C445" s="9"/>
      <c r="D445" s="2"/>
      <c r="E445" s="3">
        <f>9326.75+IF(AND(F444&lt;&gt;"",G444&lt;&gt;""),H444,0)</f>
      </c>
      <c r="F445" s="9"/>
      <c r="G445" s="9"/>
      <c r="H445" s="3">
        <f>E445-IF(F445="",0,F445)-IF(G445="",0,G445)</f>
      </c>
      <c r="I445" s="12"/>
    </row>
    <row r="446" ht="21.0" customHeight="1">
      <c r="A446" s="9"/>
      <c r="B446" s="9"/>
      <c r="C446" s="9"/>
      <c r="D446" s="2"/>
      <c r="E446" s="3">
        <f>9326.75+IF(AND(F445&lt;&gt;"",G445&lt;&gt;""),H445,0)</f>
      </c>
      <c r="F446" s="9"/>
      <c r="G446" s="9"/>
      <c r="H446" s="3">
        <f>E446-IF(F446="",0,F446)-IF(G446="",0,G446)</f>
      </c>
      <c r="I446" s="12"/>
    </row>
    <row r="447" ht="21.0" customHeight="1">
      <c r="A447" s="9"/>
      <c r="B447" s="9"/>
      <c r="C447" s="9"/>
      <c r="D447" s="2"/>
      <c r="E447" s="3">
        <f>9326.75+IF(AND(F446&lt;&gt;"",G446&lt;&gt;""),H446,0)</f>
      </c>
      <c r="F447" s="9"/>
      <c r="G447" s="9"/>
      <c r="H447" s="3">
        <f>E447-IF(F447="",0,F447)-IF(G447="",0,G447)</f>
      </c>
      <c r="I447" s="12"/>
    </row>
    <row r="448" ht="21.0" customHeight="1">
      <c r="A448" s="9"/>
      <c r="B448" s="9"/>
      <c r="C448" s="9"/>
      <c r="D448" s="2"/>
      <c r="E448" s="3">
        <f>9326.75+IF(AND(F447&lt;&gt;"",G447&lt;&gt;""),H447,0)</f>
      </c>
      <c r="F448" s="9"/>
      <c r="G448" s="9"/>
      <c r="H448" s="3">
        <f>E448-IF(F448="",0,F448)-IF(G448="",0,G448)</f>
      </c>
      <c r="I448" s="12"/>
    </row>
    <row r="449" ht="21.0" customHeight="1">
      <c r="A449" s="9"/>
      <c r="B449" s="9"/>
      <c r="C449" s="9"/>
      <c r="D449" s="2"/>
      <c r="E449" s="3">
        <f>9326.75+IF(AND(F448&lt;&gt;"",G448&lt;&gt;""),H448,0)</f>
      </c>
      <c r="F449" s="9"/>
      <c r="G449" s="9"/>
      <c r="H449" s="3">
        <f>E449-IF(F449="",0,F449)-IF(G449="",0,G449)</f>
      </c>
      <c r="I449" s="12"/>
    </row>
    <row r="450" ht="21.0" customHeight="1">
      <c r="A450" s="9"/>
      <c r="B450" s="9"/>
      <c r="C450" s="9"/>
      <c r="D450" s="2"/>
      <c r="E450" s="3">
        <f>9326.75+IF(AND(F449&lt;&gt;"",G449&lt;&gt;""),H449,0)</f>
      </c>
      <c r="F450" s="9"/>
      <c r="G450" s="9"/>
      <c r="H450" s="3">
        <f>E450-IF(F450="",0,F450)-IF(G450="",0,G450)</f>
      </c>
      <c r="I450" s="12"/>
    </row>
    <row r="451" ht="21.0" customHeight="1">
      <c r="A451" s="9"/>
      <c r="B451" s="9"/>
      <c r="C451" s="9"/>
      <c r="D451" s="2"/>
      <c r="E451" s="3">
        <f>9326.75+IF(AND(F450&lt;&gt;"",G450&lt;&gt;""),H450,0)</f>
      </c>
      <c r="F451" s="9"/>
      <c r="G451" s="9"/>
      <c r="H451" s="3">
        <f>E451-IF(F451="",0,F451)-IF(G451="",0,G451)</f>
      </c>
      <c r="I451" s="12"/>
    </row>
    <row r="452" ht="21.0" customHeight="1">
      <c r="A452" s="9"/>
      <c r="B452" s="9"/>
      <c r="C452" s="9"/>
      <c r="D452" s="2"/>
      <c r="E452" s="3">
        <f>9326.75+IF(AND(F451&lt;&gt;"",G451&lt;&gt;""),H451,0)</f>
      </c>
      <c r="F452" s="9"/>
      <c r="G452" s="9"/>
      <c r="H452" s="3">
        <f>E452-IF(F452="",0,F452)-IF(G452="",0,G452)</f>
      </c>
      <c r="I452" s="12"/>
    </row>
    <row r="453" ht="21.0" customHeight="1">
      <c r="A453" s="9"/>
      <c r="B453" s="9"/>
      <c r="C453" s="9"/>
      <c r="D453" s="2"/>
      <c r="E453" s="3">
        <f>9326.75+IF(AND(F452&lt;&gt;"",G452&lt;&gt;""),H452,0)</f>
      </c>
      <c r="F453" s="9"/>
      <c r="G453" s="9"/>
      <c r="H453" s="3">
        <f>E453-IF(F453="",0,F453)-IF(G453="",0,G453)</f>
      </c>
      <c r="I453" s="12"/>
    </row>
    <row r="454" ht="21.0" customHeight="1">
      <c r="A454" s="9"/>
      <c r="B454" s="9"/>
      <c r="C454" s="9"/>
      <c r="D454" s="2"/>
      <c r="E454" s="3">
        <f>9326.75+IF(AND(F453&lt;&gt;"",G453&lt;&gt;""),H453,0)</f>
      </c>
      <c r="F454" s="9"/>
      <c r="G454" s="9"/>
      <c r="H454" s="3">
        <f>E454-IF(F454="",0,F454)-IF(G454="",0,G454)</f>
      </c>
      <c r="I454" s="12"/>
    </row>
    <row r="455" ht="21.0" customHeight="1">
      <c r="A455" s="9"/>
      <c r="B455" s="9"/>
      <c r="C455" s="9"/>
      <c r="D455" s="2"/>
      <c r="E455" s="3">
        <f>9326.75+IF(AND(F454&lt;&gt;"",G454&lt;&gt;""),H454,0)</f>
      </c>
      <c r="F455" s="9"/>
      <c r="G455" s="9"/>
      <c r="H455" s="3">
        <f>E455-IF(F455="",0,F455)-IF(G455="",0,G455)</f>
      </c>
      <c r="I455" s="12"/>
    </row>
    <row r="456" ht="21.0" customHeight="1">
      <c r="A456" s="9"/>
      <c r="B456" s="9"/>
      <c r="C456" s="9"/>
      <c r="D456" s="2"/>
      <c r="E456" s="3">
        <f>9326.75+IF(AND(F455&lt;&gt;"",G455&lt;&gt;""),H455,0)</f>
      </c>
      <c r="F456" s="9"/>
      <c r="G456" s="9"/>
      <c r="H456" s="3">
        <f>E456-IF(F456="",0,F456)-IF(G456="",0,G456)</f>
      </c>
      <c r="I456" s="12"/>
    </row>
    <row r="457" ht="21.0" customHeight="1">
      <c r="A457" s="9"/>
      <c r="B457" s="9"/>
      <c r="C457" s="9"/>
      <c r="D457" s="2"/>
      <c r="E457" s="3">
        <f>9326.75+IF(AND(F456&lt;&gt;"",G456&lt;&gt;""),H456,0)</f>
      </c>
      <c r="F457" s="9"/>
      <c r="G457" s="9"/>
      <c r="H457" s="3">
        <f>E457-IF(F457="",0,F457)-IF(G457="",0,G457)</f>
      </c>
      <c r="I457" s="12"/>
    </row>
    <row r="458" ht="21.0" customHeight="1">
      <c r="A458" s="9"/>
      <c r="B458" s="9"/>
      <c r="C458" s="9"/>
      <c r="D458" s="2"/>
      <c r="E458" s="3">
        <f>9326.75+IF(AND(F457&lt;&gt;"",G457&lt;&gt;""),H457,0)</f>
      </c>
      <c r="F458" s="9"/>
      <c r="G458" s="9"/>
      <c r="H458" s="3">
        <f>E458-IF(F458="",0,F458)-IF(G458="",0,G458)</f>
      </c>
      <c r="I458" s="12"/>
    </row>
    <row r="459" ht="21.0" customHeight="1">
      <c r="A459" s="9"/>
      <c r="B459" s="9"/>
      <c r="C459" s="9"/>
      <c r="D459" s="2"/>
      <c r="E459" s="3">
        <f>9326.75+IF(AND(F458&lt;&gt;"",G458&lt;&gt;""),H458,0)</f>
      </c>
      <c r="F459" s="9"/>
      <c r="G459" s="9"/>
      <c r="H459" s="3">
        <f>E459-IF(F459="",0,F459)-IF(G459="",0,G459)</f>
      </c>
      <c r="I459" s="12"/>
    </row>
    <row r="460" ht="21.0" customHeight="1">
      <c r="A460" s="9"/>
      <c r="B460" s="9"/>
      <c r="C460" s="9"/>
      <c r="D460" s="2"/>
      <c r="E460" s="3">
        <f>9326.75+IF(AND(F459&lt;&gt;"",G459&lt;&gt;""),H459,0)</f>
      </c>
      <c r="F460" s="9"/>
      <c r="G460" s="9"/>
      <c r="H460" s="3">
        <f>E460-IF(F460="",0,F460)-IF(G460="",0,G460)</f>
      </c>
      <c r="I460" s="12"/>
    </row>
    <row r="461" ht="21.0" customHeight="1">
      <c r="A461" s="9"/>
      <c r="B461" s="9"/>
      <c r="C461" s="9"/>
      <c r="D461" s="2"/>
      <c r="E461" s="3">
        <f>9326.75+IF(AND(F460&lt;&gt;"",G460&lt;&gt;""),H460,0)</f>
      </c>
      <c r="F461" s="9"/>
      <c r="G461" s="9"/>
      <c r="H461" s="3">
        <f>E461-IF(F461="",0,F461)-IF(G461="",0,G461)</f>
      </c>
      <c r="I461" s="12"/>
    </row>
    <row r="462" ht="21.0" customHeight="1">
      <c r="A462" s="9"/>
      <c r="B462" s="9"/>
      <c r="C462" s="9"/>
      <c r="D462" s="2"/>
      <c r="E462" s="3">
        <f>9326.75+IF(AND(F461&lt;&gt;"",G461&lt;&gt;""),H461,0)</f>
      </c>
      <c r="F462" s="9"/>
      <c r="G462" s="9"/>
      <c r="H462" s="3">
        <f>E462-IF(F462="",0,F462)-IF(G462="",0,G462)</f>
      </c>
      <c r="I462" s="12"/>
    </row>
    <row r="463" ht="21.0" customHeight="1">
      <c r="A463" s="9"/>
      <c r="B463" s="9"/>
      <c r="C463" s="9"/>
      <c r="D463" s="2"/>
      <c r="E463" s="3">
        <f>9326.75+IF(AND(F462&lt;&gt;"",G462&lt;&gt;""),H462,0)</f>
      </c>
      <c r="F463" s="9"/>
      <c r="G463" s="9"/>
      <c r="H463" s="3">
        <f>E463-IF(F463="",0,F463)-IF(G463="",0,G463)</f>
      </c>
      <c r="I463" s="12"/>
    </row>
    <row r="464" ht="21.0" customHeight="1">
      <c r="A464" s="9"/>
      <c r="B464" s="9"/>
      <c r="C464" s="9"/>
      <c r="D464" s="2"/>
      <c r="E464" s="3">
        <f>9326.75+IF(AND(F463&lt;&gt;"",G463&lt;&gt;""),H463,0)</f>
      </c>
      <c r="F464" s="9"/>
      <c r="G464" s="9"/>
      <c r="H464" s="3">
        <f>E464-IF(F464="",0,F464)-IF(G464="",0,G464)</f>
      </c>
      <c r="I464" s="12"/>
    </row>
    <row r="465" ht="21.0" customHeight="1">
      <c r="A465" s="9"/>
      <c r="B465" s="9"/>
      <c r="C465" s="9"/>
      <c r="D465" s="2"/>
      <c r="E465" s="3">
        <f>9326.75+IF(AND(F464&lt;&gt;"",G464&lt;&gt;""),H464,0)</f>
      </c>
      <c r="F465" s="9"/>
      <c r="G465" s="9"/>
      <c r="H465" s="3">
        <f>E465-IF(F465="",0,F465)-IF(G465="",0,G465)</f>
      </c>
      <c r="I465" s="12"/>
    </row>
    <row r="466" ht="21.0" customHeight="1">
      <c r="A466" s="9"/>
      <c r="B466" s="9"/>
      <c r="C466" s="9"/>
      <c r="D466" s="2"/>
      <c r="E466" s="3">
        <f>9326.75+IF(AND(F465&lt;&gt;"",G465&lt;&gt;""),H465,0)</f>
      </c>
      <c r="F466" s="9"/>
      <c r="G466" s="9"/>
      <c r="H466" s="3">
        <f>E466-IF(F466="",0,F466)-IF(G466="",0,G466)</f>
      </c>
      <c r="I466" s="12"/>
    </row>
    <row r="467" ht="21.0" customHeight="1">
      <c r="A467" s="9"/>
      <c r="B467" s="9"/>
      <c r="C467" s="9"/>
      <c r="D467" s="2"/>
      <c r="E467" s="3">
        <f>9326.75+IF(AND(F466&lt;&gt;"",G466&lt;&gt;""),H466,0)</f>
      </c>
      <c r="F467" s="9"/>
      <c r="G467" s="9"/>
      <c r="H467" s="3">
        <f>E467-IF(F467="",0,F467)-IF(G467="",0,G467)</f>
      </c>
      <c r="I467" s="12"/>
    </row>
    <row r="468" ht="21.0" customHeight="1">
      <c r="A468" s="9"/>
      <c r="B468" s="9"/>
      <c r="C468" s="9"/>
      <c r="D468" s="2"/>
      <c r="E468" s="3">
        <f>9326.75+IF(AND(F467&lt;&gt;"",G467&lt;&gt;""),H467,0)</f>
      </c>
      <c r="F468" s="9"/>
      <c r="G468" s="9"/>
      <c r="H468" s="3">
        <f>E468-IF(F468="",0,F468)-IF(G468="",0,G468)</f>
      </c>
      <c r="I468" s="12"/>
    </row>
    <row r="469" ht="21.0" customHeight="1">
      <c r="A469" s="9"/>
      <c r="B469" s="9"/>
      <c r="C469" s="9"/>
      <c r="D469" s="2"/>
      <c r="E469" s="3">
        <f>9326.75+IF(AND(F468&lt;&gt;"",G468&lt;&gt;""),H468,0)</f>
      </c>
      <c r="F469" s="9"/>
      <c r="G469" s="9"/>
      <c r="H469" s="3">
        <f>E469-IF(F469="",0,F469)-IF(G469="",0,G469)</f>
      </c>
      <c r="I469" s="12"/>
    </row>
    <row r="470" ht="21.0" customHeight="1">
      <c r="A470" s="9"/>
      <c r="B470" s="9"/>
      <c r="C470" s="9"/>
      <c r="D470" s="2"/>
      <c r="E470" s="3">
        <f>9326.75+IF(AND(F469&lt;&gt;"",G469&lt;&gt;""),H469,0)</f>
      </c>
      <c r="F470" s="9"/>
      <c r="G470" s="9"/>
      <c r="H470" s="3">
        <f>E470-IF(F470="",0,F470)-IF(G470="",0,G470)</f>
      </c>
      <c r="I470" s="12"/>
    </row>
    <row r="471" ht="21.0" customHeight="1">
      <c r="A471" s="9"/>
      <c r="B471" s="9"/>
      <c r="C471" s="9"/>
      <c r="D471" s="2"/>
      <c r="E471" s="3">
        <f>9326.75+IF(AND(F470&lt;&gt;"",G470&lt;&gt;""),H470,0)</f>
      </c>
      <c r="F471" s="9"/>
      <c r="G471" s="9"/>
      <c r="H471" s="3">
        <f>E471-IF(F471="",0,F471)-IF(G471="",0,G471)</f>
      </c>
      <c r="I471" s="12"/>
    </row>
    <row r="472" ht="21.0" customHeight="1">
      <c r="A472" s="9"/>
      <c r="B472" s="9"/>
      <c r="C472" s="9"/>
      <c r="D472" s="2"/>
      <c r="E472" s="3">
        <f>9326.75+IF(AND(F471&lt;&gt;"",G471&lt;&gt;""),H471,0)</f>
      </c>
      <c r="F472" s="9"/>
      <c r="G472" s="9"/>
      <c r="H472" s="3">
        <f>E472-IF(F472="",0,F472)-IF(G472="",0,G472)</f>
      </c>
      <c r="I472" s="12"/>
    </row>
    <row r="473" ht="21.0" customHeight="1">
      <c r="A473" s="9"/>
      <c r="B473" s="9"/>
      <c r="C473" s="9"/>
      <c r="D473" s="2"/>
      <c r="E473" s="3">
        <f>9326.75+IF(AND(F472&lt;&gt;"",G472&lt;&gt;""),H472,0)</f>
      </c>
      <c r="F473" s="9"/>
      <c r="G473" s="9"/>
      <c r="H473" s="3">
        <f>E473-IF(F473="",0,F473)-IF(G473="",0,G473)</f>
      </c>
      <c r="I473" s="12"/>
    </row>
    <row r="474" ht="21.0" customHeight="1">
      <c r="A474" s="9"/>
      <c r="B474" s="9"/>
      <c r="C474" s="9"/>
      <c r="D474" s="2"/>
      <c r="E474" s="3">
        <f>9326.75+IF(AND(F473&lt;&gt;"",G473&lt;&gt;""),H473,0)</f>
      </c>
      <c r="F474" s="9"/>
      <c r="G474" s="9"/>
      <c r="H474" s="3">
        <f>E474-IF(F474="",0,F474)-IF(G474="",0,G474)</f>
      </c>
      <c r="I474" s="12"/>
    </row>
    <row r="475" ht="21.0" customHeight="1">
      <c r="A475" s="9"/>
      <c r="B475" s="9"/>
      <c r="C475" s="9"/>
      <c r="D475" s="2"/>
      <c r="E475" s="3">
        <f>9326.75+IF(AND(F474&lt;&gt;"",G474&lt;&gt;""),H474,0)</f>
      </c>
      <c r="F475" s="9"/>
      <c r="G475" s="9"/>
      <c r="H475" s="3">
        <f>E475-IF(F475="",0,F475)-IF(G475="",0,G475)</f>
      </c>
      <c r="I475" s="12"/>
    </row>
    <row r="476" ht="21.0" customHeight="1">
      <c r="A476" s="9"/>
      <c r="B476" s="9"/>
      <c r="C476" s="9"/>
      <c r="D476" s="2"/>
      <c r="E476" s="3">
        <f>9326.75+IF(AND(F475&lt;&gt;"",G475&lt;&gt;""),H475,0)</f>
      </c>
      <c r="F476" s="9"/>
      <c r="G476" s="9"/>
      <c r="H476" s="3">
        <f>E476-IF(F476="",0,F476)-IF(G476="",0,G476)</f>
      </c>
      <c r="I476" s="12"/>
    </row>
    <row r="477" ht="21.0" customHeight="1">
      <c r="A477" s="9"/>
      <c r="B477" s="9"/>
      <c r="C477" s="9"/>
      <c r="D477" s="2"/>
      <c r="E477" s="3">
        <f>9326.75+IF(AND(F476&lt;&gt;"",G476&lt;&gt;""),H476,0)</f>
      </c>
      <c r="F477" s="9"/>
      <c r="G477" s="9"/>
      <c r="H477" s="3">
        <f>E477-IF(F477="",0,F477)-IF(G477="",0,G477)</f>
      </c>
      <c r="I477" s="12"/>
    </row>
    <row r="478" ht="21.0" customHeight="1">
      <c r="A478" s="9"/>
      <c r="B478" s="9"/>
      <c r="C478" s="9"/>
      <c r="D478" s="2"/>
      <c r="E478" s="3">
        <f>9326.75+IF(AND(F477&lt;&gt;"",G477&lt;&gt;""),H477,0)</f>
      </c>
      <c r="F478" s="9"/>
      <c r="G478" s="9"/>
      <c r="H478" s="3">
        <f>E478-IF(F478="",0,F478)-IF(G478="",0,G478)</f>
      </c>
      <c r="I478" s="12"/>
    </row>
    <row r="479" ht="21.0" customHeight="1">
      <c r="A479" s="9"/>
      <c r="B479" s="9"/>
      <c r="C479" s="9"/>
      <c r="D479" s="2"/>
      <c r="E479" s="3">
        <f>9326.75+IF(AND(F478&lt;&gt;"",G478&lt;&gt;""),H478,0)</f>
      </c>
      <c r="F479" s="9"/>
      <c r="G479" s="9"/>
      <c r="H479" s="3">
        <f>E479-IF(F479="",0,F479)-IF(G479="",0,G479)</f>
      </c>
      <c r="I479" s="12"/>
    </row>
    <row r="480" ht="21.0" customHeight="1">
      <c r="A480" s="9"/>
      <c r="B480" s="9"/>
      <c r="C480" s="9"/>
      <c r="D480" s="2"/>
      <c r="E480" s="3">
        <f>9326.75+IF(AND(F479&lt;&gt;"",G479&lt;&gt;""),H479,0)</f>
      </c>
      <c r="F480" s="9"/>
      <c r="G480" s="9"/>
      <c r="H480" s="3">
        <f>E480-IF(F480="",0,F480)-IF(G480="",0,G480)</f>
      </c>
      <c r="I480" s="12"/>
    </row>
    <row r="481" ht="21.0" customHeight="1">
      <c r="A481" s="9"/>
      <c r="B481" s="9"/>
      <c r="C481" s="9"/>
      <c r="D481" s="2"/>
      <c r="E481" s="3">
        <f>9326.75+IF(AND(F480&lt;&gt;"",G480&lt;&gt;""),H480,0)</f>
      </c>
      <c r="F481" s="9"/>
      <c r="G481" s="9"/>
      <c r="H481" s="3">
        <f>E481-IF(F481="",0,F481)-IF(G481="",0,G481)</f>
      </c>
      <c r="I481" s="12"/>
    </row>
    <row r="482" ht="21.0" customHeight="1">
      <c r="A482" s="9"/>
      <c r="B482" s="9"/>
      <c r="C482" s="9"/>
      <c r="D482" s="2"/>
      <c r="E482" s="3">
        <f>9326.75+IF(AND(F481&lt;&gt;"",G481&lt;&gt;""),H481,0)</f>
      </c>
      <c r="F482" s="9"/>
      <c r="G482" s="9"/>
      <c r="H482" s="3">
        <f>E482-IF(F482="",0,F482)-IF(G482="",0,G482)</f>
      </c>
      <c r="I482" s="12"/>
    </row>
    <row r="483" ht="21.0" customHeight="1">
      <c r="A483" s="9"/>
      <c r="B483" s="9"/>
      <c r="C483" s="9"/>
      <c r="D483" s="2"/>
      <c r="E483" s="3">
        <f>9326.75+IF(AND(F482&lt;&gt;"",G482&lt;&gt;""),H482,0)</f>
      </c>
      <c r="F483" s="9"/>
      <c r="G483" s="9"/>
      <c r="H483" s="3">
        <f>E483-IF(F483="",0,F483)-IF(G483="",0,G483)</f>
      </c>
      <c r="I483" s="12"/>
    </row>
    <row r="484" ht="21.0" customHeight="1">
      <c r="A484" s="9"/>
      <c r="B484" s="9"/>
      <c r="C484" s="9"/>
      <c r="D484" s="2"/>
      <c r="E484" s="3">
        <f>9326.75+IF(AND(F483&lt;&gt;"",G483&lt;&gt;""),H483,0)</f>
      </c>
      <c r="F484" s="9"/>
      <c r="G484" s="9"/>
      <c r="H484" s="3">
        <f>E484-IF(F484="",0,F484)-IF(G484="",0,G484)</f>
      </c>
      <c r="I484" s="12"/>
    </row>
    <row r="485" ht="21.0" customHeight="1">
      <c r="A485" s="9"/>
      <c r="B485" s="9"/>
      <c r="C485" s="9"/>
      <c r="D485" s="2"/>
      <c r="E485" s="3">
        <f>9326.75+IF(AND(F484&lt;&gt;"",G484&lt;&gt;""),H484,0)</f>
      </c>
      <c r="F485" s="9"/>
      <c r="G485" s="9"/>
      <c r="H485" s="3">
        <f>E485-IF(F485="",0,F485)-IF(G485="",0,G485)</f>
      </c>
      <c r="I485" s="12"/>
    </row>
    <row r="486" ht="21.0" customHeight="1">
      <c r="A486" s="9"/>
      <c r="B486" s="9"/>
      <c r="C486" s="9"/>
      <c r="D486" s="2"/>
      <c r="E486" s="3">
        <f>9326.75+IF(AND(F485&lt;&gt;"",G485&lt;&gt;""),H485,0)</f>
      </c>
      <c r="F486" s="9"/>
      <c r="G486" s="9"/>
      <c r="H486" s="3">
        <f>E486-IF(F486="",0,F486)-IF(G486="",0,G486)</f>
      </c>
      <c r="I486" s="12"/>
    </row>
    <row r="487" ht="21.0" customHeight="1">
      <c r="A487" s="9"/>
      <c r="B487" s="9"/>
      <c r="C487" s="9"/>
      <c r="D487" s="2"/>
      <c r="E487" s="3">
        <f>9326.75+IF(AND(F486&lt;&gt;"",G486&lt;&gt;""),H486,0)</f>
      </c>
      <c r="F487" s="9"/>
      <c r="G487" s="9"/>
      <c r="H487" s="3">
        <f>E487-IF(F487="",0,F487)-IF(G487="",0,G487)</f>
      </c>
      <c r="I487" s="12"/>
    </row>
    <row r="488" ht="21.0" customHeight="1">
      <c r="A488" s="9"/>
      <c r="B488" s="9"/>
      <c r="C488" s="9"/>
      <c r="D488" s="2"/>
      <c r="E488" s="3">
        <f>9326.75+IF(AND(F487&lt;&gt;"",G487&lt;&gt;""),H487,0)</f>
      </c>
      <c r="F488" s="9"/>
      <c r="G488" s="9"/>
      <c r="H488" s="3">
        <f>E488-IF(F488="",0,F488)-IF(G488="",0,G488)</f>
      </c>
      <c r="I488" s="12"/>
    </row>
    <row r="489" ht="21.0" customHeight="1">
      <c r="A489" s="9"/>
      <c r="B489" s="9"/>
      <c r="C489" s="9"/>
      <c r="D489" s="2"/>
      <c r="E489" s="3">
        <f>9326.75+IF(AND(F488&lt;&gt;"",G488&lt;&gt;""),H488,0)</f>
      </c>
      <c r="F489" s="9"/>
      <c r="G489" s="9"/>
      <c r="H489" s="3">
        <f>E489-IF(F489="",0,F489)-IF(G489="",0,G489)</f>
      </c>
      <c r="I489" s="12"/>
    </row>
    <row r="490" ht="21.0" customHeight="1">
      <c r="A490" s="9"/>
      <c r="B490" s="9"/>
      <c r="C490" s="9"/>
      <c r="D490" s="2"/>
      <c r="E490" s="3">
        <f>9326.75+IF(AND(F489&lt;&gt;"",G489&lt;&gt;""),H489,0)</f>
      </c>
      <c r="F490" s="9"/>
      <c r="G490" s="9"/>
      <c r="H490" s="3">
        <f>E490-IF(F490="",0,F490)-IF(G490="",0,G490)</f>
      </c>
      <c r="I490" s="12"/>
    </row>
    <row r="491" ht="21.0" customHeight="1">
      <c r="A491" s="9"/>
      <c r="B491" s="9"/>
      <c r="C491" s="9"/>
      <c r="D491" s="2"/>
      <c r="E491" s="3">
        <f>9326.75+IF(AND(F490&lt;&gt;"",G490&lt;&gt;""),H490,0)</f>
      </c>
      <c r="F491" s="9"/>
      <c r="G491" s="9"/>
      <c r="H491" s="3">
        <f>E491-IF(F491="",0,F491)-IF(G491="",0,G491)</f>
      </c>
      <c r="I491" s="12"/>
    </row>
    <row r="492" ht="21.0" customHeight="1">
      <c r="A492" s="9"/>
      <c r="B492" s="9"/>
      <c r="C492" s="9"/>
      <c r="D492" s="2"/>
      <c r="E492" s="3">
        <f>9326.75+IF(AND(F491&lt;&gt;"",G491&lt;&gt;""),H491,0)</f>
      </c>
      <c r="F492" s="9"/>
      <c r="G492" s="9"/>
      <c r="H492" s="3">
        <f>E492-IF(F492="",0,F492)-IF(G492="",0,G492)</f>
      </c>
      <c r="I492" s="12"/>
    </row>
    <row r="493" ht="21.0" customHeight="1">
      <c r="A493" s="9"/>
      <c r="B493" s="9"/>
      <c r="C493" s="9"/>
      <c r="D493" s="2"/>
      <c r="E493" s="3">
        <f>9326.75+IF(AND(F492&lt;&gt;"",G492&lt;&gt;""),H492,0)</f>
      </c>
      <c r="F493" s="9"/>
      <c r="G493" s="9"/>
      <c r="H493" s="3">
        <f>E493-IF(F493="",0,F493)-IF(G493="",0,G493)</f>
      </c>
      <c r="I493" s="12"/>
    </row>
    <row r="494" ht="21.0" customHeight="1">
      <c r="A494" s="9"/>
      <c r="B494" s="9"/>
      <c r="C494" s="9"/>
      <c r="D494" s="2"/>
      <c r="E494" s="3">
        <f>9326.75+IF(AND(F493&lt;&gt;"",G493&lt;&gt;""),H493,0)</f>
      </c>
      <c r="F494" s="9"/>
      <c r="G494" s="9"/>
      <c r="H494" s="3">
        <f>E494-IF(F494="",0,F494)-IF(G494="",0,G494)</f>
      </c>
      <c r="I494" s="12"/>
    </row>
    <row r="495" ht="21.0" customHeight="1">
      <c r="A495" s="9"/>
      <c r="B495" s="9"/>
      <c r="C495" s="9"/>
      <c r="D495" s="2"/>
      <c r="E495" s="3">
        <f>9326.75+IF(AND(F494&lt;&gt;"",G494&lt;&gt;""),H494,0)</f>
      </c>
      <c r="F495" s="9"/>
      <c r="G495" s="9"/>
      <c r="H495" s="3">
        <f>E495-IF(F495="",0,F495)-IF(G495="",0,G495)</f>
      </c>
      <c r="I495" s="12"/>
    </row>
    <row r="496" ht="21.0" customHeight="1">
      <c r="A496" s="9"/>
      <c r="B496" s="9"/>
      <c r="C496" s="9"/>
      <c r="D496" s="2"/>
      <c r="E496" s="3">
        <f>9326.75+IF(AND(F495&lt;&gt;"",G495&lt;&gt;""),H495,0)</f>
      </c>
      <c r="F496" s="9"/>
      <c r="G496" s="9"/>
      <c r="H496" s="3">
        <f>E496-IF(F496="",0,F496)-IF(G496="",0,G496)</f>
      </c>
      <c r="I496" s="12"/>
    </row>
    <row r="497" ht="21.0" customHeight="1">
      <c r="A497" s="9"/>
      <c r="B497" s="9"/>
      <c r="C497" s="9"/>
      <c r="D497" s="2"/>
      <c r="E497" s="3">
        <f>9326.75+IF(AND(F496&lt;&gt;"",G496&lt;&gt;""),H496,0)</f>
      </c>
      <c r="F497" s="9"/>
      <c r="G497" s="9"/>
      <c r="H497" s="3">
        <f>E497-IF(F497="",0,F497)-IF(G497="",0,G497)</f>
      </c>
      <c r="I497" s="12"/>
    </row>
    <row r="498" ht="21.0" customHeight="1">
      <c r="A498" s="9"/>
      <c r="B498" s="9"/>
      <c r="C498" s="9"/>
      <c r="D498" s="2"/>
      <c r="E498" s="3">
        <f>9326.75+IF(AND(F497&lt;&gt;"",G497&lt;&gt;""),H497,0)</f>
      </c>
      <c r="F498" s="9"/>
      <c r="G498" s="9"/>
      <c r="H498" s="3">
        <f>E498-IF(F498="",0,F498)-IF(G498="",0,G498)</f>
      </c>
      <c r="I498" s="12"/>
    </row>
    <row r="499" ht="21.0" customHeight="1">
      <c r="A499" s="9"/>
      <c r="B499" s="9"/>
      <c r="C499" s="9"/>
      <c r="D499" s="2"/>
      <c r="E499" s="3">
        <f>9326.75+IF(AND(F498&lt;&gt;"",G498&lt;&gt;""),H498,0)</f>
      </c>
      <c r="F499" s="9"/>
      <c r="G499" s="9"/>
      <c r="H499" s="3">
        <f>E499-IF(F499="",0,F499)-IF(G499="",0,G499)</f>
      </c>
      <c r="I499" s="12"/>
    </row>
    <row r="500" ht="21.0" customHeight="1">
      <c r="A500" s="9"/>
      <c r="B500" s="9"/>
      <c r="C500" s="9"/>
      <c r="D500" s="2"/>
      <c r="E500" s="3">
        <f>9326.75+IF(AND(F499&lt;&gt;"",G499&lt;&gt;""),H499,0)</f>
      </c>
      <c r="F500" s="9"/>
      <c r="G500" s="9"/>
      <c r="H500" s="3">
        <f>E500-IF(F500="",0,F500)-IF(G500="",0,G500)</f>
      </c>
      <c r="I500" s="12"/>
    </row>
    <row r="501" ht="21.0" customHeight="1">
      <c r="A501" s="9"/>
      <c r="B501" s="9"/>
      <c r="C501" s="9"/>
      <c r="D501" s="2"/>
      <c r="E501" s="3">
        <f>9326.75+IF(AND(F500&lt;&gt;"",G500&lt;&gt;""),H500,0)</f>
      </c>
      <c r="F501" s="9"/>
      <c r="G501" s="9"/>
      <c r="H501" s="3">
        <f>E501-IF(F501="",0,F501)-IF(G501="",0,G501)</f>
      </c>
      <c r="I501" s="12"/>
    </row>
    <row r="502" ht="21.0" customHeight="1">
      <c r="A502" s="9"/>
      <c r="B502" s="9"/>
      <c r="C502" s="9"/>
      <c r="D502" s="2"/>
      <c r="E502" s="3">
        <f>9326.75+IF(AND(F501&lt;&gt;"",G501&lt;&gt;""),H501,0)</f>
      </c>
      <c r="F502" s="9"/>
      <c r="G502" s="9"/>
      <c r="H502" s="3">
        <f>E502-IF(F502="",0,F502)-IF(G502="",0,G502)</f>
      </c>
      <c r="I502" s="12"/>
    </row>
    <row r="503" ht="21.0" customHeight="1">
      <c r="A503" s="9"/>
      <c r="B503" s="9"/>
      <c r="C503" s="9"/>
      <c r="D503" s="2"/>
      <c r="E503" s="3">
        <f>9326.75+IF(AND(F502&lt;&gt;"",G502&lt;&gt;""),H502,0)</f>
      </c>
      <c r="F503" s="9"/>
      <c r="G503" s="9"/>
      <c r="H503" s="3">
        <f>E503-IF(F503="",0,F503)-IF(G503="",0,G503)</f>
      </c>
      <c r="I503" s="12"/>
    </row>
    <row r="504" ht="21.0" customHeight="1">
      <c r="A504" s="9"/>
      <c r="B504" s="9"/>
      <c r="C504" s="9"/>
      <c r="D504" s="2"/>
      <c r="E504" s="3">
        <f>9326.75+IF(AND(F503&lt;&gt;"",G503&lt;&gt;""),H503,0)</f>
      </c>
      <c r="F504" s="9"/>
      <c r="G504" s="9"/>
      <c r="H504" s="3">
        <f>E504-IF(F504="",0,F504)-IF(G504="",0,G504)</f>
      </c>
      <c r="I504" s="12"/>
    </row>
    <row r="505" ht="21.0" customHeight="1">
      <c r="A505" s="9"/>
      <c r="B505" s="9"/>
      <c r="C505" s="9"/>
      <c r="D505" s="2"/>
      <c r="E505" s="3">
        <f>9326.75+IF(AND(F504&lt;&gt;"",G504&lt;&gt;""),H504,0)</f>
      </c>
      <c r="F505" s="9"/>
      <c r="G505" s="9"/>
      <c r="H505" s="3">
        <f>E505-IF(F505="",0,F505)-IF(G505="",0,G505)</f>
      </c>
      <c r="I505" s="12"/>
    </row>
    <row r="506" ht="21.0" customHeight="1">
      <c r="A506" s="9"/>
      <c r="B506" s="9"/>
      <c r="C506" s="9"/>
      <c r="D506" s="2"/>
      <c r="E506" s="3">
        <f>9326.75+IF(AND(F505&lt;&gt;"",G505&lt;&gt;""),H505,0)</f>
      </c>
      <c r="F506" s="9"/>
      <c r="G506" s="9"/>
      <c r="H506" s="3">
        <f>E506-IF(F506="",0,F506)-IF(G506="",0,G506)</f>
      </c>
      <c r="I506" s="12"/>
    </row>
    <row r="507" ht="21.0" customHeight="1">
      <c r="A507" s="9"/>
      <c r="B507" s="9"/>
      <c r="C507" s="9"/>
      <c r="D507" s="2"/>
      <c r="E507" s="3">
        <f>9326.75+IF(AND(F506&lt;&gt;"",G506&lt;&gt;""),H506,0)</f>
      </c>
      <c r="F507" s="9"/>
      <c r="G507" s="9"/>
      <c r="H507" s="3">
        <f>E507-IF(F507="",0,F507)-IF(G507="",0,G507)</f>
      </c>
      <c r="I507" s="12"/>
    </row>
    <row r="508" ht="21.0" customHeight="1">
      <c r="A508" s="9"/>
      <c r="B508" s="9"/>
      <c r="C508" s="9"/>
      <c r="D508" s="2"/>
      <c r="E508" s="3">
        <f>9326.75+IF(AND(F507&lt;&gt;"",G507&lt;&gt;""),H507,0)</f>
      </c>
      <c r="F508" s="9"/>
      <c r="G508" s="9"/>
      <c r="H508" s="3">
        <f>E508-IF(F508="",0,F508)-IF(G508="",0,G508)</f>
      </c>
      <c r="I508" s="12"/>
    </row>
    <row r="509" ht="21.0" customHeight="1">
      <c r="A509" s="9"/>
      <c r="B509" s="9"/>
      <c r="C509" s="9"/>
      <c r="D509" s="2"/>
      <c r="E509" s="3">
        <f>9326.75+IF(AND(F508&lt;&gt;"",G508&lt;&gt;""),H508,0)</f>
      </c>
      <c r="F509" s="9"/>
      <c r="G509" s="9"/>
      <c r="H509" s="3">
        <f>E509-IF(F509="",0,F509)-IF(G509="",0,G509)</f>
      </c>
      <c r="I509" s="12"/>
    </row>
    <row r="510" ht="21.0" customHeight="1">
      <c r="A510" s="9"/>
      <c r="B510" s="9"/>
      <c r="C510" s="9"/>
      <c r="D510" s="2"/>
      <c r="E510" s="3">
        <f>9326.75+IF(AND(F509&lt;&gt;"",G509&lt;&gt;""),H509,0)</f>
      </c>
      <c r="F510" s="9"/>
      <c r="G510" s="9"/>
      <c r="H510" s="3">
        <f>E510-IF(F510="",0,F510)-IF(G510="",0,G510)</f>
      </c>
      <c r="I510" s="12"/>
    </row>
    <row r="511" ht="21.0" customHeight="1">
      <c r="A511" s="9"/>
      <c r="B511" s="9"/>
      <c r="C511" s="9"/>
      <c r="D511" s="2"/>
      <c r="E511" s="3">
        <f>9326.75+IF(AND(F510&lt;&gt;"",G510&lt;&gt;""),H510,0)</f>
      </c>
      <c r="F511" s="9"/>
      <c r="G511" s="9"/>
      <c r="H511" s="3">
        <f>E511-IF(F511="",0,F511)-IF(G511="",0,G511)</f>
      </c>
      <c r="I511" s="12"/>
    </row>
    <row r="512" ht="21.0" customHeight="1">
      <c r="A512" s="9"/>
      <c r="B512" s="9"/>
      <c r="C512" s="9"/>
      <c r="D512" s="2"/>
      <c r="E512" s="3">
        <f>9326.75+IF(AND(F511&lt;&gt;"",G511&lt;&gt;""),H511,0)</f>
      </c>
      <c r="F512" s="9"/>
      <c r="G512" s="9"/>
      <c r="H512" s="3">
        <f>E512-IF(F512="",0,F512)-IF(G512="",0,G512)</f>
      </c>
      <c r="I512" s="12"/>
    </row>
    <row r="513" ht="21.0" customHeight="1">
      <c r="A513" s="9"/>
      <c r="B513" s="9"/>
      <c r="C513" s="9"/>
      <c r="D513" s="2"/>
      <c r="E513" s="3">
        <f>9326.75+IF(AND(F512&lt;&gt;"",G512&lt;&gt;""),H512,0)</f>
      </c>
      <c r="F513" s="9"/>
      <c r="G513" s="9"/>
      <c r="H513" s="3">
        <f>E513-IF(F513="",0,F513)-IF(G513="",0,G513)</f>
      </c>
      <c r="I513" s="12"/>
    </row>
    <row r="514" ht="21.0" customHeight="1">
      <c r="A514" s="9"/>
      <c r="B514" s="9"/>
      <c r="C514" s="9"/>
      <c r="D514" s="2"/>
      <c r="E514" s="3">
        <f>9326.75+IF(AND(F513&lt;&gt;"",G513&lt;&gt;""),H513,0)</f>
      </c>
      <c r="F514" s="9"/>
      <c r="G514" s="9"/>
      <c r="H514" s="3">
        <f>E514-IF(F514="",0,F514)-IF(G514="",0,G514)</f>
      </c>
      <c r="I514" s="12"/>
    </row>
    <row r="515" ht="21.0" customHeight="1">
      <c r="A515" s="9"/>
      <c r="B515" s="9"/>
      <c r="C515" s="9"/>
      <c r="D515" s="2"/>
      <c r="E515" s="3">
        <f>9326.75+IF(AND(F514&lt;&gt;"",G514&lt;&gt;""),H514,0)</f>
      </c>
      <c r="F515" s="9"/>
      <c r="G515" s="9"/>
      <c r="H515" s="3">
        <f>E515-IF(F515="",0,F515)-IF(G515="",0,G515)</f>
      </c>
      <c r="I515" s="12"/>
    </row>
    <row r="516" ht="21.0" customHeight="1">
      <c r="A516" s="9"/>
      <c r="B516" s="9"/>
      <c r="C516" s="9"/>
      <c r="D516" s="2"/>
      <c r="E516" s="3">
        <f>9326.75+IF(AND(F515&lt;&gt;"",G515&lt;&gt;""),H515,0)</f>
      </c>
      <c r="F516" s="9"/>
      <c r="G516" s="9"/>
      <c r="H516" s="3">
        <f>E516-IF(F516="",0,F516)-IF(G516="",0,G516)</f>
      </c>
      <c r="I516" s="12"/>
    </row>
    <row r="517" ht="21.0" customHeight="1">
      <c r="A517" s="9"/>
      <c r="B517" s="9"/>
      <c r="C517" s="9"/>
      <c r="D517" s="2"/>
      <c r="E517" s="3">
        <f>9326.75+IF(AND(F516&lt;&gt;"",G516&lt;&gt;""),H516,0)</f>
      </c>
      <c r="F517" s="9"/>
      <c r="G517" s="9"/>
      <c r="H517" s="3">
        <f>E517-IF(F517="",0,F517)-IF(G517="",0,G517)</f>
      </c>
      <c r="I517" s="12"/>
    </row>
    <row r="518" ht="21.0" customHeight="1">
      <c r="A518" s="9"/>
      <c r="B518" s="9"/>
      <c r="C518" s="9"/>
      <c r="D518" s="2"/>
      <c r="E518" s="3">
        <f>9326.75+IF(AND(F517&lt;&gt;"",G517&lt;&gt;""),H517,0)</f>
      </c>
      <c r="F518" s="9"/>
      <c r="G518" s="9"/>
      <c r="H518" s="3">
        <f>E518-IF(F518="",0,F518)-IF(G518="",0,G518)</f>
      </c>
      <c r="I518" s="12"/>
    </row>
    <row r="519" ht="21.0" customHeight="1">
      <c r="A519" s="9"/>
      <c r="B519" s="9"/>
      <c r="C519" s="9"/>
      <c r="D519" s="2"/>
      <c r="E519" s="3">
        <f>9326.75+IF(AND(F518&lt;&gt;"",G518&lt;&gt;""),H518,0)</f>
      </c>
      <c r="F519" s="9"/>
      <c r="G519" s="9"/>
      <c r="H519" s="3">
        <f>E519-IF(F519="",0,F519)-IF(G519="",0,G519)</f>
      </c>
      <c r="I519" s="12"/>
    </row>
    <row r="520" ht="21.0" customHeight="1">
      <c r="A520" s="9"/>
      <c r="B520" s="9"/>
      <c r="C520" s="9"/>
      <c r="D520" s="2"/>
      <c r="E520" s="3">
        <f>9326.75+IF(AND(F519&lt;&gt;"",G519&lt;&gt;""),H519,0)</f>
      </c>
      <c r="F520" s="9"/>
      <c r="G520" s="9"/>
      <c r="H520" s="3">
        <f>E520-IF(F520="",0,F520)-IF(G520="",0,G520)</f>
      </c>
      <c r="I520" s="12"/>
    </row>
    <row r="521" ht="21.0" customHeight="1">
      <c r="A521" s="9"/>
      <c r="B521" s="9"/>
      <c r="C521" s="9"/>
      <c r="D521" s="2"/>
      <c r="E521" s="3">
        <f>9326.75+IF(AND(F520&lt;&gt;"",G520&lt;&gt;""),H520,0)</f>
      </c>
      <c r="F521" s="9"/>
      <c r="G521" s="9"/>
      <c r="H521" s="3">
        <f>E521-IF(F521="",0,F521)-IF(G521="",0,G521)</f>
      </c>
      <c r="I521" s="12"/>
    </row>
    <row r="522" ht="21.0" customHeight="1">
      <c r="A522" s="9"/>
      <c r="B522" s="9"/>
      <c r="C522" s="9"/>
      <c r="D522" s="2"/>
      <c r="E522" s="3">
        <f>9326.75+IF(AND(F521&lt;&gt;"",G521&lt;&gt;""),H521,0)</f>
      </c>
      <c r="F522" s="9"/>
      <c r="G522" s="9"/>
      <c r="H522" s="3">
        <f>E522-IF(F522="",0,F522)-IF(G522="",0,G522)</f>
      </c>
      <c r="I522" s="12"/>
    </row>
    <row r="523" ht="21.0" customHeight="1">
      <c r="A523" s="9"/>
      <c r="B523" s="9"/>
      <c r="C523" s="9"/>
      <c r="D523" s="2"/>
      <c r="E523" s="3">
        <f>9326.75+IF(AND(F522&lt;&gt;"",G522&lt;&gt;""),H522,0)</f>
      </c>
      <c r="F523" s="9"/>
      <c r="G523" s="9"/>
      <c r="H523" s="3">
        <f>E523-IF(F523="",0,F523)-IF(G523="",0,G523)</f>
      </c>
      <c r="I523" s="12"/>
    </row>
    <row r="524" ht="21.0" customHeight="1">
      <c r="A524" s="9"/>
      <c r="B524" s="9"/>
      <c r="C524" s="9"/>
      <c r="D524" s="2"/>
      <c r="E524" s="3">
        <f>9326.75+IF(AND(F523&lt;&gt;"",G523&lt;&gt;""),H523,0)</f>
      </c>
      <c r="F524" s="9"/>
      <c r="G524" s="9"/>
      <c r="H524" s="3">
        <f>E524-IF(F524="",0,F524)-IF(G524="",0,G524)</f>
      </c>
      <c r="I524" s="12"/>
    </row>
    <row r="525" ht="21.0" customHeight="1">
      <c r="A525" s="9"/>
      <c r="B525" s="9"/>
      <c r="C525" s="9"/>
      <c r="D525" s="2"/>
      <c r="E525" s="3">
        <f>9326.75+IF(AND(F524&lt;&gt;"",G524&lt;&gt;""),H524,0)</f>
      </c>
      <c r="F525" s="9"/>
      <c r="G525" s="9"/>
      <c r="H525" s="3">
        <f>E525-IF(F525="",0,F525)-IF(G525="",0,G525)</f>
      </c>
      <c r="I525" s="12"/>
    </row>
    <row r="526" ht="21.0" customHeight="1">
      <c r="A526" s="9"/>
      <c r="B526" s="9"/>
      <c r="C526" s="9"/>
      <c r="D526" s="2"/>
      <c r="E526" s="3">
        <f>9326.75+IF(AND(F525&lt;&gt;"",G525&lt;&gt;""),H525,0)</f>
      </c>
      <c r="F526" s="9"/>
      <c r="G526" s="9"/>
      <c r="H526" s="3">
        <f>E526-IF(F526="",0,F526)-IF(G526="",0,G526)</f>
      </c>
      <c r="I526" s="12"/>
    </row>
    <row r="527" ht="21.0" customHeight="1">
      <c r="A527" s="9"/>
      <c r="B527" s="9"/>
      <c r="C527" s="9"/>
      <c r="D527" s="2"/>
      <c r="E527" s="3">
        <f>9326.75+IF(AND(F526&lt;&gt;"",G526&lt;&gt;""),H526,0)</f>
      </c>
      <c r="F527" s="9"/>
      <c r="G527" s="9"/>
      <c r="H527" s="3">
        <f>E527-IF(F527="",0,F527)-IF(G527="",0,G527)</f>
      </c>
      <c r="I527" s="12"/>
    </row>
    <row r="528" ht="21.0" customHeight="1">
      <c r="A528" s="9"/>
      <c r="B528" s="9"/>
      <c r="C528" s="9"/>
      <c r="D528" s="2"/>
      <c r="E528" s="3">
        <f>9326.75+IF(AND(F527&lt;&gt;"",G527&lt;&gt;""),H527,0)</f>
      </c>
      <c r="F528" s="9"/>
      <c r="G528" s="9"/>
      <c r="H528" s="3">
        <f>E528-IF(F528="",0,F528)-IF(G528="",0,G528)</f>
      </c>
      <c r="I528" s="12"/>
    </row>
    <row r="529" ht="21.0" customHeight="1">
      <c r="A529" s="9"/>
      <c r="B529" s="9"/>
      <c r="C529" s="9"/>
      <c r="D529" s="2"/>
      <c r="E529" s="3">
        <f>9326.75+IF(AND(F528&lt;&gt;"",G528&lt;&gt;""),H528,0)</f>
      </c>
      <c r="F529" s="9"/>
      <c r="G529" s="9"/>
      <c r="H529" s="3">
        <f>E529-IF(F529="",0,F529)-IF(G529="",0,G529)</f>
      </c>
      <c r="I529" s="12"/>
    </row>
    <row r="530" ht="21.0" customHeight="1">
      <c r="A530" s="9"/>
      <c r="B530" s="9"/>
      <c r="C530" s="9"/>
      <c r="D530" s="2"/>
      <c r="E530" s="3">
        <f>9326.75+IF(AND(F529&lt;&gt;"",G529&lt;&gt;""),H529,0)</f>
      </c>
      <c r="F530" s="9"/>
      <c r="G530" s="9"/>
      <c r="H530" s="3">
        <f>E530-IF(F530="",0,F530)-IF(G530="",0,G530)</f>
      </c>
      <c r="I530" s="12"/>
    </row>
    <row r="531" ht="21.0" customHeight="1">
      <c r="A531" s="9"/>
      <c r="B531" s="9"/>
      <c r="C531" s="9"/>
      <c r="D531" s="2"/>
      <c r="E531" s="3">
        <f>9326.75+IF(AND(F530&lt;&gt;"",G530&lt;&gt;""),H530,0)</f>
      </c>
      <c r="F531" s="9"/>
      <c r="G531" s="9"/>
      <c r="H531" s="3">
        <f>E531-IF(F531="",0,F531)-IF(G531="",0,G531)</f>
      </c>
      <c r="I531" s="12"/>
    </row>
    <row r="532" ht="21.0" customHeight="1">
      <c r="A532" s="9"/>
      <c r="B532" s="9"/>
      <c r="C532" s="9"/>
      <c r="D532" s="2"/>
      <c r="E532" s="3">
        <f>9326.75+IF(AND(F531&lt;&gt;"",G531&lt;&gt;""),H531,0)</f>
      </c>
      <c r="F532" s="9"/>
      <c r="G532" s="9"/>
      <c r="H532" s="3">
        <f>E532-IF(F532="",0,F532)-IF(G532="",0,G532)</f>
      </c>
      <c r="I532" s="12"/>
    </row>
    <row r="533" ht="21.0" customHeight="1">
      <c r="A533" s="9"/>
      <c r="B533" s="9"/>
      <c r="C533" s="9"/>
      <c r="D533" s="2"/>
      <c r="E533" s="3">
        <f>9326.75+IF(AND(F532&lt;&gt;"",G532&lt;&gt;""),H532,0)</f>
      </c>
      <c r="F533" s="9"/>
      <c r="G533" s="9"/>
      <c r="H533" s="3">
        <f>E533-IF(F533="",0,F533)-IF(G533="",0,G533)</f>
      </c>
      <c r="I533" s="12"/>
    </row>
    <row r="534" ht="21.0" customHeight="1">
      <c r="A534" s="9"/>
      <c r="B534" s="9"/>
      <c r="C534" s="9"/>
      <c r="D534" s="2"/>
      <c r="E534" s="3">
        <f>9326.75+IF(AND(F533&lt;&gt;"",G533&lt;&gt;""),H533,0)</f>
      </c>
      <c r="F534" s="9"/>
      <c r="G534" s="9"/>
      <c r="H534" s="3">
        <f>E534-IF(F534="",0,F534)-IF(G534="",0,G534)</f>
      </c>
      <c r="I534" s="12"/>
    </row>
    <row r="535" ht="21.0" customHeight="1">
      <c r="A535" s="9"/>
      <c r="B535" s="9"/>
      <c r="C535" s="9"/>
      <c r="D535" s="2"/>
      <c r="E535" s="3">
        <f>9326.75+IF(AND(F534&lt;&gt;"",G534&lt;&gt;""),H534,0)</f>
      </c>
      <c r="F535" s="9"/>
      <c r="G535" s="9"/>
      <c r="H535" s="3">
        <f>E535-IF(F535="",0,F535)-IF(G535="",0,G535)</f>
      </c>
      <c r="I535" s="12"/>
    </row>
    <row r="536" ht="21.0" customHeight="1">
      <c r="A536" s="9"/>
      <c r="B536" s="9"/>
      <c r="C536" s="9"/>
      <c r="D536" s="2"/>
      <c r="E536" s="3">
        <f>9326.75+IF(AND(F535&lt;&gt;"",G535&lt;&gt;""),H535,0)</f>
      </c>
      <c r="F536" s="9"/>
      <c r="G536" s="9"/>
      <c r="H536" s="3">
        <f>E536-IF(F536="",0,F536)-IF(G536="",0,G536)</f>
      </c>
      <c r="I536" s="12"/>
    </row>
    <row r="537" ht="21.0" customHeight="1">
      <c r="A537" s="9"/>
      <c r="B537" s="9"/>
      <c r="C537" s="9"/>
      <c r="D537" s="2"/>
      <c r="E537" s="3">
        <f>9326.75+IF(AND(F536&lt;&gt;"",G536&lt;&gt;""),H536,0)</f>
      </c>
      <c r="F537" s="9"/>
      <c r="G537" s="9"/>
      <c r="H537" s="3">
        <f>E537-IF(F537="",0,F537)-IF(G537="",0,G537)</f>
      </c>
      <c r="I537" s="12"/>
    </row>
    <row r="538" ht="21.0" customHeight="1">
      <c r="A538" s="9"/>
      <c r="B538" s="9"/>
      <c r="C538" s="9"/>
      <c r="D538" s="2"/>
      <c r="E538" s="3">
        <f>9326.75+IF(AND(F537&lt;&gt;"",G537&lt;&gt;""),H537,0)</f>
      </c>
      <c r="F538" s="9"/>
      <c r="G538" s="9"/>
      <c r="H538" s="3">
        <f>E538-IF(F538="",0,F538)-IF(G538="",0,G538)</f>
      </c>
      <c r="I538" s="12"/>
    </row>
    <row r="539" ht="21.0" customHeight="1">
      <c r="A539" s="9"/>
      <c r="B539" s="9"/>
      <c r="C539" s="9"/>
      <c r="D539" s="2"/>
      <c r="E539" s="3">
        <f>9326.75+IF(AND(F538&lt;&gt;"",G538&lt;&gt;""),H538,0)</f>
      </c>
      <c r="F539" s="9"/>
      <c r="G539" s="9"/>
      <c r="H539" s="3">
        <f>E539-IF(F539="",0,F539)-IF(G539="",0,G539)</f>
      </c>
      <c r="I539" s="12"/>
    </row>
    <row r="540" ht="21.0" customHeight="1">
      <c r="A540" s="9"/>
      <c r="B540" s="9"/>
      <c r="C540" s="9"/>
      <c r="D540" s="2"/>
      <c r="E540" s="3">
        <f>9326.75+IF(AND(F539&lt;&gt;"",G539&lt;&gt;""),H539,0)</f>
      </c>
      <c r="F540" s="9"/>
      <c r="G540" s="9"/>
      <c r="H540" s="3">
        <f>E540-IF(F540="",0,F540)-IF(G540="",0,G540)</f>
      </c>
      <c r="I540" s="12"/>
    </row>
    <row r="541" ht="21.0" customHeight="1">
      <c r="A541" s="9"/>
      <c r="B541" s="9"/>
      <c r="C541" s="9"/>
      <c r="D541" s="2"/>
      <c r="E541" s="3">
        <f>9326.75+IF(AND(F540&lt;&gt;"",G540&lt;&gt;""),H540,0)</f>
      </c>
      <c r="F541" s="9"/>
      <c r="G541" s="9"/>
      <c r="H541" s="3">
        <f>E541-IF(F541="",0,F541)-IF(G541="",0,G541)</f>
      </c>
      <c r="I541" s="12"/>
    </row>
    <row r="542" ht="21.0" customHeight="1">
      <c r="A542" s="9"/>
      <c r="B542" s="9"/>
      <c r="C542" s="9"/>
      <c r="D542" s="2"/>
      <c r="E542" s="3">
        <f>9326.75+IF(AND(F541&lt;&gt;"",G541&lt;&gt;""),H541,0)</f>
      </c>
      <c r="F542" s="9"/>
      <c r="G542" s="9"/>
      <c r="H542" s="3">
        <f>E542-IF(F542="",0,F542)-IF(G542="",0,G542)</f>
      </c>
      <c r="I542" s="12"/>
    </row>
    <row r="543" ht="21.0" customHeight="1">
      <c r="A543" s="9"/>
      <c r="B543" s="9"/>
      <c r="C543" s="9"/>
      <c r="D543" s="2"/>
      <c r="E543" s="3">
        <f>9326.75+IF(AND(F542&lt;&gt;"",G542&lt;&gt;""),H542,0)</f>
      </c>
      <c r="F543" s="9"/>
      <c r="G543" s="9"/>
      <c r="H543" s="3">
        <f>E543-IF(F543="",0,F543)-IF(G543="",0,G543)</f>
      </c>
      <c r="I543" s="12"/>
    </row>
    <row r="544" ht="21.0" customHeight="1">
      <c r="A544" s="9"/>
      <c r="B544" s="9"/>
      <c r="C544" s="9"/>
      <c r="D544" s="2"/>
      <c r="E544" s="3">
        <f>9326.75+IF(AND(F543&lt;&gt;"",G543&lt;&gt;""),H543,0)</f>
      </c>
      <c r="F544" s="9"/>
      <c r="G544" s="9"/>
      <c r="H544" s="3">
        <f>E544-IF(F544="",0,F544)-IF(G544="",0,G544)</f>
      </c>
      <c r="I544" s="12"/>
    </row>
    <row r="545" ht="21.0" customHeight="1">
      <c r="A545" s="9"/>
      <c r="B545" s="9"/>
      <c r="C545" s="9"/>
      <c r="D545" s="2"/>
      <c r="E545" s="3">
        <f>9326.75+IF(AND(F544&lt;&gt;"",G544&lt;&gt;""),H544,0)</f>
      </c>
      <c r="F545" s="9"/>
      <c r="G545" s="9"/>
      <c r="H545" s="3">
        <f>E545-IF(F545="",0,F545)-IF(G545="",0,G545)</f>
      </c>
      <c r="I545" s="12"/>
    </row>
    <row r="546" ht="21.0" customHeight="1">
      <c r="A546" s="9"/>
      <c r="B546" s="9"/>
      <c r="C546" s="9"/>
      <c r="D546" s="2"/>
      <c r="E546" s="3">
        <f>9326.75+IF(AND(F545&lt;&gt;"",G545&lt;&gt;""),H545,0)</f>
      </c>
      <c r="F546" s="9"/>
      <c r="G546" s="9"/>
      <c r="H546" s="3">
        <f>E546-IF(F546="",0,F546)-IF(G546="",0,G546)</f>
      </c>
      <c r="I546" s="12"/>
    </row>
    <row r="547" ht="21.0" customHeight="1">
      <c r="A547" s="9"/>
      <c r="B547" s="9"/>
      <c r="C547" s="9"/>
      <c r="D547" s="2"/>
      <c r="E547" s="3">
        <f>9326.75+IF(AND(F546&lt;&gt;"",G546&lt;&gt;""),H546,0)</f>
      </c>
      <c r="F547" s="9"/>
      <c r="G547" s="9"/>
      <c r="H547" s="3">
        <f>E547-IF(F547="",0,F547)-IF(G547="",0,G547)</f>
      </c>
      <c r="I547" s="12"/>
    </row>
    <row r="548" ht="21.0" customHeight="1">
      <c r="A548" s="9"/>
      <c r="B548" s="9"/>
      <c r="C548" s="9"/>
      <c r="D548" s="2"/>
      <c r="E548" s="3">
        <f>9326.75+IF(AND(F547&lt;&gt;"",G547&lt;&gt;""),H547,0)</f>
      </c>
      <c r="F548" s="9"/>
      <c r="G548" s="9"/>
      <c r="H548" s="3">
        <f>E548-IF(F548="",0,F548)-IF(G548="",0,G548)</f>
      </c>
      <c r="I548" s="12"/>
    </row>
    <row r="549" ht="21.0" customHeight="1">
      <c r="A549" s="9"/>
      <c r="B549" s="9"/>
      <c r="C549" s="9"/>
      <c r="D549" s="2"/>
      <c r="E549" s="3">
        <f>9326.75+IF(AND(F548&lt;&gt;"",G548&lt;&gt;""),H548,0)</f>
      </c>
      <c r="F549" s="9"/>
      <c r="G549" s="9"/>
      <c r="H549" s="3">
        <f>E549-IF(F549="",0,F549)-IF(G549="",0,G549)</f>
      </c>
      <c r="I549" s="12"/>
    </row>
    <row r="550" ht="21.0" customHeight="1">
      <c r="A550" s="9"/>
      <c r="B550" s="9"/>
      <c r="C550" s="9"/>
      <c r="D550" s="2"/>
      <c r="E550" s="3">
        <f>9326.75+IF(AND(F549&lt;&gt;"",G549&lt;&gt;""),H549,0)</f>
      </c>
      <c r="F550" s="9"/>
      <c r="G550" s="9"/>
      <c r="H550" s="3">
        <f>E550-IF(F550="",0,F550)-IF(G550="",0,G550)</f>
      </c>
      <c r="I550" s="12"/>
    </row>
    <row r="551" ht="21.0" customHeight="1">
      <c r="A551" s="9"/>
      <c r="B551" s="9"/>
      <c r="C551" s="9"/>
      <c r="D551" s="2"/>
      <c r="E551" s="3">
        <f>9326.75+IF(AND(F550&lt;&gt;"",G550&lt;&gt;""),H550,0)</f>
      </c>
      <c r="F551" s="9"/>
      <c r="G551" s="9"/>
      <c r="H551" s="3">
        <f>E551-IF(F551="",0,F551)-IF(G551="",0,G551)</f>
      </c>
      <c r="I551" s="12"/>
    </row>
    <row r="552" ht="21.0" customHeight="1">
      <c r="A552" s="9"/>
      <c r="B552" s="9"/>
      <c r="C552" s="9"/>
      <c r="D552" s="2"/>
      <c r="E552" s="3">
        <f>9326.75+IF(AND(F551&lt;&gt;"",G551&lt;&gt;""),H551,0)</f>
      </c>
      <c r="F552" s="9"/>
      <c r="G552" s="9"/>
      <c r="H552" s="3">
        <f>E552-IF(F552="",0,F552)-IF(G552="",0,G552)</f>
      </c>
      <c r="I552" s="12"/>
    </row>
    <row r="553" ht="21.0" customHeight="1">
      <c r="A553" s="9"/>
      <c r="B553" s="9"/>
      <c r="C553" s="9"/>
      <c r="D553" s="2"/>
      <c r="E553" s="3">
        <f>9326.75+IF(AND(F552&lt;&gt;"",G552&lt;&gt;""),H552,0)</f>
      </c>
      <c r="F553" s="9"/>
      <c r="G553" s="9"/>
      <c r="H553" s="3">
        <f>E553-IF(F553="",0,F553)-IF(G553="",0,G553)</f>
      </c>
      <c r="I553" s="12"/>
    </row>
    <row r="554" ht="21.0" customHeight="1">
      <c r="A554" s="9"/>
      <c r="B554" s="9"/>
      <c r="C554" s="9"/>
      <c r="D554" s="2"/>
      <c r="E554" s="3">
        <f>9326.75+IF(AND(F553&lt;&gt;"",G553&lt;&gt;""),H553,0)</f>
      </c>
      <c r="F554" s="9"/>
      <c r="G554" s="9"/>
      <c r="H554" s="3">
        <f>E554-IF(F554="",0,F554)-IF(G554="",0,G554)</f>
      </c>
      <c r="I554" s="12"/>
    </row>
    <row r="555" ht="21.0" customHeight="1">
      <c r="A555" s="9"/>
      <c r="B555" s="9"/>
      <c r="C555" s="9"/>
      <c r="D555" s="2"/>
      <c r="E555" s="3">
        <f>9326.75+IF(AND(F554&lt;&gt;"",G554&lt;&gt;""),H554,0)</f>
      </c>
      <c r="F555" s="9"/>
      <c r="G555" s="9"/>
      <c r="H555" s="3">
        <f>E555-IF(F555="",0,F555)-IF(G555="",0,G555)</f>
      </c>
      <c r="I555" s="12"/>
    </row>
    <row r="556" ht="21.0" customHeight="1">
      <c r="A556" s="9"/>
      <c r="B556" s="9"/>
      <c r="C556" s="9"/>
      <c r="D556" s="2"/>
      <c r="E556" s="3">
        <f>9326.75+IF(AND(F555&lt;&gt;"",G555&lt;&gt;""),H555,0)</f>
      </c>
      <c r="F556" s="9"/>
      <c r="G556" s="9"/>
      <c r="H556" s="3">
        <f>E556-IF(F556="",0,F556)-IF(G556="",0,G556)</f>
      </c>
      <c r="I556" s="12"/>
    </row>
    <row r="557" ht="21.0" customHeight="1">
      <c r="A557" s="9"/>
      <c r="B557" s="9"/>
      <c r="C557" s="9"/>
      <c r="D557" s="2"/>
      <c r="E557" s="3">
        <f>9326.75+IF(AND(F556&lt;&gt;"",G556&lt;&gt;""),H556,0)</f>
      </c>
      <c r="F557" s="9"/>
      <c r="G557" s="9"/>
      <c r="H557" s="3">
        <f>E557-IF(F557="",0,F557)-IF(G557="",0,G557)</f>
      </c>
      <c r="I557" s="12"/>
    </row>
    <row r="558" ht="21.0" customHeight="1">
      <c r="A558" s="9"/>
      <c r="B558" s="9"/>
      <c r="C558" s="9"/>
      <c r="D558" s="2"/>
      <c r="E558" s="3">
        <f>9326.75+IF(AND(F557&lt;&gt;"",G557&lt;&gt;""),H557,0)</f>
      </c>
      <c r="F558" s="9"/>
      <c r="G558" s="9"/>
      <c r="H558" s="3">
        <f>E558-IF(F558="",0,F558)-IF(G558="",0,G558)</f>
      </c>
      <c r="I558" s="12"/>
    </row>
    <row r="559" ht="21.0" customHeight="1">
      <c r="A559" s="9"/>
      <c r="B559" s="9"/>
      <c r="C559" s="9"/>
      <c r="D559" s="2"/>
      <c r="E559" s="3">
        <f>9326.75+IF(AND(F558&lt;&gt;"",G558&lt;&gt;""),H558,0)</f>
      </c>
      <c r="F559" s="9"/>
      <c r="G559" s="9"/>
      <c r="H559" s="3">
        <f>E559-IF(F559="",0,F559)-IF(G559="",0,G559)</f>
      </c>
      <c r="I559" s="12"/>
    </row>
    <row r="560" ht="21.0" customHeight="1">
      <c r="A560" s="9"/>
      <c r="B560" s="9"/>
      <c r="C560" s="9"/>
      <c r="D560" s="2"/>
      <c r="E560" s="3">
        <f>9326.75+IF(AND(F559&lt;&gt;"",G559&lt;&gt;""),H559,0)</f>
      </c>
      <c r="F560" s="9"/>
      <c r="G560" s="9"/>
      <c r="H560" s="3">
        <f>E560-IF(F560="",0,F560)-IF(G560="",0,G560)</f>
      </c>
      <c r="I560" s="12"/>
    </row>
    <row r="561" ht="21.0" customHeight="1">
      <c r="A561" s="9"/>
      <c r="B561" s="9"/>
      <c r="C561" s="9"/>
      <c r="D561" s="2"/>
      <c r="E561" s="3">
        <f>9326.75+IF(AND(F560&lt;&gt;"",G560&lt;&gt;""),H560,0)</f>
      </c>
      <c r="F561" s="9"/>
      <c r="G561" s="9"/>
      <c r="H561" s="3">
        <f>E561-IF(F561="",0,F561)-IF(G561="",0,G561)</f>
      </c>
      <c r="I561" s="12"/>
    </row>
    <row r="562" ht="21.0" customHeight="1">
      <c r="A562" s="9"/>
      <c r="B562" s="9"/>
      <c r="C562" s="9"/>
      <c r="D562" s="2"/>
      <c r="E562" s="3">
        <f>9326.75+IF(AND(F561&lt;&gt;"",G561&lt;&gt;""),H561,0)</f>
      </c>
      <c r="F562" s="9"/>
      <c r="G562" s="9"/>
      <c r="H562" s="3">
        <f>E562-IF(F562="",0,F562)-IF(G562="",0,G562)</f>
      </c>
      <c r="I562" s="12"/>
    </row>
    <row r="563" ht="21.0" customHeight="1">
      <c r="A563" s="9"/>
      <c r="B563" s="9"/>
      <c r="C563" s="9"/>
      <c r="D563" s="2"/>
      <c r="E563" s="3">
        <f>9326.75+IF(AND(F562&lt;&gt;"",G562&lt;&gt;""),H562,0)</f>
      </c>
      <c r="F563" s="9"/>
      <c r="G563" s="9"/>
      <c r="H563" s="3">
        <f>E563-IF(F563="",0,F563)-IF(G563="",0,G563)</f>
      </c>
      <c r="I563" s="12"/>
    </row>
    <row r="564" ht="21.0" customHeight="1">
      <c r="A564" s="9"/>
      <c r="B564" s="9"/>
      <c r="C564" s="9"/>
      <c r="D564" s="2"/>
      <c r="E564" s="3">
        <f>9326.75+IF(AND(F563&lt;&gt;"",G563&lt;&gt;""),H563,0)</f>
      </c>
      <c r="F564" s="9"/>
      <c r="G564" s="9"/>
      <c r="H564" s="3">
        <f>E564-IF(F564="",0,F564)-IF(G564="",0,G564)</f>
      </c>
      <c r="I564" s="12"/>
    </row>
    <row r="565" ht="21.0" customHeight="1">
      <c r="A565" s="9"/>
      <c r="B565" s="9"/>
      <c r="C565" s="9"/>
      <c r="D565" s="2"/>
      <c r="E565" s="3">
        <f>9326.75+IF(AND(F564&lt;&gt;"",G564&lt;&gt;""),H564,0)</f>
      </c>
      <c r="F565" s="9"/>
      <c r="G565" s="9"/>
      <c r="H565" s="3">
        <f>E565-IF(F565="",0,F565)-IF(G565="",0,G565)</f>
      </c>
      <c r="I565" s="12"/>
    </row>
    <row r="566" ht="21.0" customHeight="1">
      <c r="A566" s="9"/>
      <c r="B566" s="9"/>
      <c r="C566" s="9"/>
      <c r="D566" s="2"/>
      <c r="E566" s="3">
        <f>9326.75+IF(AND(F565&lt;&gt;"",G565&lt;&gt;""),H565,0)</f>
      </c>
      <c r="F566" s="9"/>
      <c r="G566" s="9"/>
      <c r="H566" s="3">
        <f>E566-IF(F566="",0,F566)-IF(G566="",0,G566)</f>
      </c>
      <c r="I566" s="12"/>
    </row>
    <row r="567" ht="21.0" customHeight="1">
      <c r="A567" s="9"/>
      <c r="B567" s="9"/>
      <c r="C567" s="9"/>
      <c r="D567" s="2"/>
      <c r="E567" s="3">
        <f>9326.75+IF(AND(F566&lt;&gt;"",G566&lt;&gt;""),H566,0)</f>
      </c>
      <c r="F567" s="9"/>
      <c r="G567" s="9"/>
      <c r="H567" s="3">
        <f>E567-IF(F567="",0,F567)-IF(G567="",0,G567)</f>
      </c>
      <c r="I567" s="12"/>
    </row>
    <row r="568" ht="21.0" customHeight="1">
      <c r="A568" s="9"/>
      <c r="B568" s="9"/>
      <c r="C568" s="9"/>
      <c r="D568" s="2"/>
      <c r="E568" s="3">
        <f>9326.75+IF(AND(F567&lt;&gt;"",G567&lt;&gt;""),H567,0)</f>
      </c>
      <c r="F568" s="9"/>
      <c r="G568" s="9"/>
      <c r="H568" s="3">
        <f>E568-IF(F568="",0,F568)-IF(G568="",0,G568)</f>
      </c>
      <c r="I568" s="12"/>
    </row>
    <row r="569" ht="21.0" customHeight="1">
      <c r="A569" s="9"/>
      <c r="B569" s="9"/>
      <c r="C569" s="9"/>
      <c r="D569" s="2"/>
      <c r="E569" s="3">
        <f>9326.75+IF(AND(F568&lt;&gt;"",G568&lt;&gt;""),H568,0)</f>
      </c>
      <c r="F569" s="9"/>
      <c r="G569" s="9"/>
      <c r="H569" s="3">
        <f>E569-IF(F569="",0,F569)-IF(G569="",0,G569)</f>
      </c>
      <c r="I569" s="12"/>
    </row>
    <row r="570" ht="21.0" customHeight="1">
      <c r="A570" s="9"/>
      <c r="B570" s="9"/>
      <c r="C570" s="9"/>
      <c r="D570" s="2"/>
      <c r="E570" s="3">
        <f>9326.75+IF(AND(F569&lt;&gt;"",G569&lt;&gt;""),H569,0)</f>
      </c>
      <c r="F570" s="9"/>
      <c r="G570" s="9"/>
      <c r="H570" s="3">
        <f>E570-IF(F570="",0,F570)-IF(G570="",0,G570)</f>
      </c>
      <c r="I570" s="12"/>
    </row>
    <row r="571" ht="21.0" customHeight="1">
      <c r="A571" s="9"/>
      <c r="B571" s="9"/>
      <c r="C571" s="9"/>
      <c r="D571" s="2"/>
      <c r="E571" s="3">
        <f>9326.75+IF(AND(F570&lt;&gt;"",G570&lt;&gt;""),H570,0)</f>
      </c>
      <c r="F571" s="9"/>
      <c r="G571" s="9"/>
      <c r="H571" s="3">
        <f>E571-IF(F571="",0,F571)-IF(G571="",0,G571)</f>
      </c>
      <c r="I571" s="12"/>
    </row>
    <row r="572" ht="21.0" customHeight="1">
      <c r="A572" s="9"/>
      <c r="B572" s="9"/>
      <c r="C572" s="9"/>
      <c r="D572" s="2"/>
      <c r="E572" s="3">
        <f>9326.75+IF(AND(F571&lt;&gt;"",G571&lt;&gt;""),H571,0)</f>
      </c>
      <c r="F572" s="9"/>
      <c r="G572" s="9"/>
      <c r="H572" s="3">
        <f>E572-IF(F572="",0,F572)-IF(G572="",0,G572)</f>
      </c>
      <c r="I572" s="12"/>
    </row>
    <row r="573" ht="21.0" customHeight="1">
      <c r="A573" s="9"/>
      <c r="B573" s="9"/>
      <c r="C573" s="9"/>
      <c r="D573" s="2"/>
      <c r="E573" s="3">
        <f>9326.75+IF(AND(F572&lt;&gt;"",G572&lt;&gt;""),H572,0)</f>
      </c>
      <c r="F573" s="9"/>
      <c r="G573" s="9"/>
      <c r="H573" s="3">
        <f>E573-IF(F573="",0,F573)-IF(G573="",0,G573)</f>
      </c>
      <c r="I573" s="12"/>
    </row>
    <row r="574" ht="21.0" customHeight="1">
      <c r="A574" s="9"/>
      <c r="B574" s="9"/>
      <c r="C574" s="9"/>
      <c r="D574" s="2"/>
      <c r="E574" s="3">
        <f>9326.75+IF(AND(F573&lt;&gt;"",G573&lt;&gt;""),H573,0)</f>
      </c>
      <c r="F574" s="9"/>
      <c r="G574" s="9"/>
      <c r="H574" s="3">
        <f>E574-IF(F574="",0,F574)-IF(G574="",0,G574)</f>
      </c>
      <c r="I574" s="12"/>
    </row>
    <row r="575" ht="21.0" customHeight="1">
      <c r="A575" s="9"/>
      <c r="B575" s="9"/>
      <c r="C575" s="9"/>
      <c r="D575" s="2"/>
      <c r="E575" s="3">
        <f>9326.75+IF(AND(F574&lt;&gt;"",G574&lt;&gt;""),H574,0)</f>
      </c>
      <c r="F575" s="9"/>
      <c r="G575" s="9"/>
      <c r="H575" s="3">
        <f>E575-IF(F575="",0,F575)-IF(G575="",0,G575)</f>
      </c>
      <c r="I575" s="12"/>
    </row>
    <row r="576" ht="21.0" customHeight="1">
      <c r="A576" s="9"/>
      <c r="B576" s="9"/>
      <c r="C576" s="9"/>
      <c r="D576" s="2"/>
      <c r="E576" s="3">
        <f>9326.75+IF(AND(F575&lt;&gt;"",G575&lt;&gt;""),H575,0)</f>
      </c>
      <c r="F576" s="9"/>
      <c r="G576" s="9"/>
      <c r="H576" s="3">
        <f>E576-IF(F576="",0,F576)-IF(G576="",0,G576)</f>
      </c>
      <c r="I576" s="12"/>
    </row>
    <row r="577" ht="21.0" customHeight="1">
      <c r="A577" s="9"/>
      <c r="B577" s="9"/>
      <c r="C577" s="9"/>
      <c r="D577" s="2"/>
      <c r="E577" s="3">
        <f>9326.75+IF(AND(F576&lt;&gt;"",G576&lt;&gt;""),H576,0)</f>
      </c>
      <c r="F577" s="9"/>
      <c r="G577" s="9"/>
      <c r="H577" s="3">
        <f>E577-IF(F577="",0,F577)-IF(G577="",0,G577)</f>
      </c>
      <c r="I577" s="12"/>
    </row>
    <row r="578" ht="21.0" customHeight="1">
      <c r="A578" s="9"/>
      <c r="B578" s="9"/>
      <c r="C578" s="9"/>
      <c r="D578" s="2"/>
      <c r="E578" s="3">
        <f>9326.75+IF(AND(F577&lt;&gt;"",G577&lt;&gt;""),H577,0)</f>
      </c>
      <c r="F578" s="9"/>
      <c r="G578" s="9"/>
      <c r="H578" s="3">
        <f>E578-IF(F578="",0,F578)-IF(G578="",0,G578)</f>
      </c>
      <c r="I578" s="12"/>
    </row>
    <row r="579" ht="21.0" customHeight="1">
      <c r="A579" s="9"/>
      <c r="B579" s="9"/>
      <c r="C579" s="9"/>
      <c r="D579" s="2"/>
      <c r="E579" s="3">
        <f>9326.75+IF(AND(F578&lt;&gt;"",G578&lt;&gt;""),H578,0)</f>
      </c>
      <c r="F579" s="9"/>
      <c r="G579" s="9"/>
      <c r="H579" s="3">
        <f>E579-IF(F579="",0,F579)-IF(G579="",0,G579)</f>
      </c>
      <c r="I579" s="12"/>
    </row>
    <row r="580" ht="21.0" customHeight="1">
      <c r="A580" s="9"/>
      <c r="B580" s="9"/>
      <c r="C580" s="9"/>
      <c r="D580" s="2"/>
      <c r="E580" s="3">
        <f>9326.75+IF(AND(F579&lt;&gt;"",G579&lt;&gt;""),H579,0)</f>
      </c>
      <c r="F580" s="9"/>
      <c r="G580" s="9"/>
      <c r="H580" s="3">
        <f>E580-IF(F580="",0,F580)-IF(G580="",0,G580)</f>
      </c>
      <c r="I580" s="12"/>
    </row>
    <row r="581" ht="21.0" customHeight="1">
      <c r="A581" s="9"/>
      <c r="B581" s="9"/>
      <c r="C581" s="9"/>
      <c r="D581" s="2"/>
      <c r="E581" s="3">
        <f>9326.75+IF(AND(F580&lt;&gt;"",G580&lt;&gt;""),H580,0)</f>
      </c>
      <c r="F581" s="9"/>
      <c r="G581" s="9"/>
      <c r="H581" s="3">
        <f>E581-IF(F581="",0,F581)-IF(G581="",0,G581)</f>
      </c>
      <c r="I581" s="12"/>
    </row>
    <row r="582" ht="21.0" customHeight="1">
      <c r="A582" s="9"/>
      <c r="B582" s="9"/>
      <c r="C582" s="9"/>
      <c r="D582" s="2"/>
      <c r="E582" s="3">
        <f>9326.75+IF(AND(F581&lt;&gt;"",G581&lt;&gt;""),H581,0)</f>
      </c>
      <c r="F582" s="9"/>
      <c r="G582" s="9"/>
      <c r="H582" s="3">
        <f>E582-IF(F582="",0,F582)-IF(G582="",0,G582)</f>
      </c>
      <c r="I582" s="12"/>
    </row>
    <row r="583" ht="21.0" customHeight="1">
      <c r="A583" s="9"/>
      <c r="B583" s="9"/>
      <c r="C583" s="9"/>
      <c r="D583" s="2"/>
      <c r="E583" s="3">
        <f>9326.75+IF(AND(F582&lt;&gt;"",G582&lt;&gt;""),H582,0)</f>
      </c>
      <c r="F583" s="9"/>
      <c r="G583" s="9"/>
      <c r="H583" s="3">
        <f>E583-IF(F583="",0,F583)-IF(G583="",0,G583)</f>
      </c>
      <c r="I583" s="12"/>
    </row>
    <row r="584" ht="21.0" customHeight="1">
      <c r="A584" s="9"/>
      <c r="B584" s="9"/>
      <c r="C584" s="9"/>
      <c r="D584" s="2"/>
      <c r="E584" s="3">
        <f>9326.75+IF(AND(F583&lt;&gt;"",G583&lt;&gt;""),H583,0)</f>
      </c>
      <c r="F584" s="9"/>
      <c r="G584" s="9"/>
      <c r="H584" s="3">
        <f>E584-IF(F584="",0,F584)-IF(G584="",0,G584)</f>
      </c>
      <c r="I584" s="12"/>
    </row>
    <row r="585" ht="21.0" customHeight="1">
      <c r="A585" s="9"/>
      <c r="B585" s="9"/>
      <c r="C585" s="9"/>
      <c r="D585" s="2"/>
      <c r="E585" s="3">
        <f>9326.75+IF(AND(F584&lt;&gt;"",G584&lt;&gt;""),H584,0)</f>
      </c>
      <c r="F585" s="9"/>
      <c r="G585" s="9"/>
      <c r="H585" s="3">
        <f>E585-IF(F585="",0,F585)-IF(G585="",0,G585)</f>
      </c>
      <c r="I585" s="12"/>
    </row>
    <row r="586" ht="21.0" customHeight="1">
      <c r="A586" s="9"/>
      <c r="B586" s="9"/>
      <c r="C586" s="9"/>
      <c r="D586" s="2"/>
      <c r="E586" s="3">
        <f>9326.75+IF(AND(F585&lt;&gt;"",G585&lt;&gt;""),H585,0)</f>
      </c>
      <c r="F586" s="9"/>
      <c r="G586" s="9"/>
      <c r="H586" s="3">
        <f>E586-IF(F586="",0,F586)-IF(G586="",0,G586)</f>
      </c>
      <c r="I586" s="12"/>
    </row>
    <row r="587" ht="21.0" customHeight="1">
      <c r="A587" s="9"/>
      <c r="B587" s="9"/>
      <c r="C587" s="9"/>
      <c r="D587" s="2"/>
      <c r="E587" s="3">
        <f>9326.75+IF(AND(F586&lt;&gt;"",G586&lt;&gt;""),H586,0)</f>
      </c>
      <c r="F587" s="9"/>
      <c r="G587" s="9"/>
      <c r="H587" s="3">
        <f>E587-IF(F587="",0,F587)-IF(G587="",0,G587)</f>
      </c>
      <c r="I587" s="12"/>
    </row>
    <row r="588" ht="21.0" customHeight="1">
      <c r="A588" s="9"/>
      <c r="B588" s="9"/>
      <c r="C588" s="9"/>
      <c r="D588" s="2"/>
      <c r="E588" s="3">
        <f>9326.75+IF(AND(F587&lt;&gt;"",G587&lt;&gt;""),H587,0)</f>
      </c>
      <c r="F588" s="9"/>
      <c r="G588" s="9"/>
      <c r="H588" s="3">
        <f>E588-IF(F588="",0,F588)-IF(G588="",0,G588)</f>
      </c>
      <c r="I588" s="12"/>
    </row>
    <row r="589" ht="21.0" customHeight="1">
      <c r="A589" s="9"/>
      <c r="B589" s="9"/>
      <c r="C589" s="9"/>
      <c r="D589" s="2"/>
      <c r="E589" s="3">
        <f>9326.75+IF(AND(F588&lt;&gt;"",G588&lt;&gt;""),H588,0)</f>
      </c>
      <c r="F589" s="9"/>
      <c r="G589" s="9"/>
      <c r="H589" s="3">
        <f>E589-IF(F589="",0,F589)-IF(G589="",0,G589)</f>
      </c>
      <c r="I589" s="12"/>
    </row>
    <row r="590" ht="21.0" customHeight="1">
      <c r="A590" s="9"/>
      <c r="B590" s="9"/>
      <c r="C590" s="9"/>
      <c r="D590" s="2"/>
      <c r="E590" s="3">
        <f>9326.75+IF(AND(F589&lt;&gt;"",G589&lt;&gt;""),H589,0)</f>
      </c>
      <c r="F590" s="9"/>
      <c r="G590" s="9"/>
      <c r="H590" s="3">
        <f>E590-IF(F590="",0,F590)-IF(G590="",0,G590)</f>
      </c>
      <c r="I590" s="12"/>
    </row>
    <row r="591" ht="21.0" customHeight="1">
      <c r="A591" s="9"/>
      <c r="B591" s="9"/>
      <c r="C591" s="9"/>
      <c r="D591" s="2"/>
      <c r="E591" s="3">
        <f>9326.75+IF(AND(F590&lt;&gt;"",G590&lt;&gt;""),H590,0)</f>
      </c>
      <c r="F591" s="9"/>
      <c r="G591" s="9"/>
      <c r="H591" s="3">
        <f>E591-IF(F591="",0,F591)-IF(G591="",0,G591)</f>
      </c>
      <c r="I591" s="12"/>
    </row>
    <row r="592" ht="21.0" customHeight="1">
      <c r="A592" s="9"/>
      <c r="B592" s="9"/>
      <c r="C592" s="9"/>
      <c r="D592" s="2"/>
      <c r="E592" s="3">
        <f>9326.75+IF(AND(F591&lt;&gt;"",G591&lt;&gt;""),H591,0)</f>
      </c>
      <c r="F592" s="9"/>
      <c r="G592" s="9"/>
      <c r="H592" s="3">
        <f>E592-IF(F592="",0,F592)-IF(G592="",0,G592)</f>
      </c>
      <c r="I592" s="12"/>
    </row>
    <row r="593" ht="21.0" customHeight="1">
      <c r="A593" s="9"/>
      <c r="B593" s="9"/>
      <c r="C593" s="9"/>
      <c r="D593" s="2"/>
      <c r="E593" s="3">
        <f>9326.75+IF(AND(F592&lt;&gt;"",G592&lt;&gt;""),H592,0)</f>
      </c>
      <c r="F593" s="9"/>
      <c r="G593" s="9"/>
      <c r="H593" s="3">
        <f>E593-IF(F593="",0,F593)-IF(G593="",0,G593)</f>
      </c>
      <c r="I593" s="12"/>
    </row>
    <row r="594" ht="21.0" customHeight="1">
      <c r="A594" s="9"/>
      <c r="B594" s="9"/>
      <c r="C594" s="9"/>
      <c r="D594" s="2"/>
      <c r="E594" s="3">
        <f>9326.75+IF(AND(F593&lt;&gt;"",G593&lt;&gt;""),H593,0)</f>
      </c>
      <c r="F594" s="9"/>
      <c r="G594" s="9"/>
      <c r="H594" s="3">
        <f>E594-IF(F594="",0,F594)-IF(G594="",0,G594)</f>
      </c>
      <c r="I594" s="12"/>
    </row>
    <row r="595" ht="21.0" customHeight="1">
      <c r="A595" s="9"/>
      <c r="B595" s="9"/>
      <c r="C595" s="9"/>
      <c r="D595" s="2"/>
      <c r="E595" s="3">
        <f>9326.75+IF(AND(F594&lt;&gt;"",G594&lt;&gt;""),H594,0)</f>
      </c>
      <c r="F595" s="9"/>
      <c r="G595" s="9"/>
      <c r="H595" s="3">
        <f>E595-IF(F595="",0,F595)-IF(G595="",0,G595)</f>
      </c>
      <c r="I595" s="12"/>
    </row>
    <row r="596" ht="21.0" customHeight="1">
      <c r="A596" s="9"/>
      <c r="B596" s="9"/>
      <c r="C596" s="9"/>
      <c r="D596" s="2"/>
      <c r="E596" s="3">
        <f>9326.75+IF(AND(F595&lt;&gt;"",G595&lt;&gt;""),H595,0)</f>
      </c>
      <c r="F596" s="9"/>
      <c r="G596" s="9"/>
      <c r="H596" s="3">
        <f>E596-IF(F596="",0,F596)-IF(G596="",0,G596)</f>
      </c>
      <c r="I596" s="12"/>
    </row>
    <row r="597" ht="21.0" customHeight="1">
      <c r="A597" s="9"/>
      <c r="B597" s="9"/>
      <c r="C597" s="9"/>
      <c r="D597" s="2"/>
      <c r="E597" s="3">
        <f>9326.75+IF(AND(F596&lt;&gt;"",G596&lt;&gt;""),H596,0)</f>
      </c>
      <c r="F597" s="9"/>
      <c r="G597" s="9"/>
      <c r="H597" s="3">
        <f>E597-IF(F597="",0,F597)-IF(G597="",0,G597)</f>
      </c>
      <c r="I597" s="12"/>
    </row>
    <row r="598" ht="21.0" customHeight="1">
      <c r="A598" s="9"/>
      <c r="B598" s="9"/>
      <c r="C598" s="9"/>
      <c r="D598" s="2"/>
      <c r="E598" s="3">
        <f>9326.75+IF(AND(F597&lt;&gt;"",G597&lt;&gt;""),H597,0)</f>
      </c>
      <c r="F598" s="9"/>
      <c r="G598" s="9"/>
      <c r="H598" s="3">
        <f>E598-IF(F598="",0,F598)-IF(G598="",0,G598)</f>
      </c>
      <c r="I598" s="12"/>
    </row>
    <row r="599" ht="21.0" customHeight="1">
      <c r="A599" s="9"/>
      <c r="B599" s="9"/>
      <c r="C599" s="9"/>
      <c r="D599" s="2"/>
      <c r="E599" s="3">
        <f>9326.75+IF(AND(F598&lt;&gt;"",G598&lt;&gt;""),H598,0)</f>
      </c>
      <c r="F599" s="9"/>
      <c r="G599" s="9"/>
      <c r="H599" s="3">
        <f>E599-IF(F599="",0,F599)-IF(G599="",0,G599)</f>
      </c>
      <c r="I599" s="12"/>
    </row>
    <row r="600" ht="21.0" customHeight="1">
      <c r="A600" s="9"/>
      <c r="B600" s="9"/>
      <c r="C600" s="9"/>
      <c r="D600" s="2"/>
      <c r="E600" s="3">
        <f>9326.75+IF(AND(F599&lt;&gt;"",G599&lt;&gt;""),H599,0)</f>
      </c>
      <c r="F600" s="9"/>
      <c r="G600" s="9"/>
      <c r="H600" s="3">
        <f>E600-IF(F600="",0,F600)-IF(G600="",0,G600)</f>
      </c>
      <c r="I600" s="12"/>
    </row>
    <row r="601" ht="21.0" customHeight="1">
      <c r="A601" s="9"/>
      <c r="B601" s="9"/>
      <c r="C601" s="9"/>
      <c r="D601" s="2"/>
      <c r="E601" s="3">
        <f>9326.75+IF(AND(F600&lt;&gt;"",G600&lt;&gt;""),H600,0)</f>
      </c>
      <c r="F601" s="9"/>
      <c r="G601" s="9"/>
      <c r="H601" s="3">
        <f>E601-IF(F601="",0,F601)-IF(G601="",0,G601)</f>
      </c>
      <c r="I601" s="12"/>
    </row>
    <row r="602" ht="21.0" customHeight="1">
      <c r="A602" s="9"/>
      <c r="B602" s="9"/>
      <c r="C602" s="9"/>
      <c r="D602" s="2"/>
      <c r="E602" s="3">
        <f>9326.75+IF(AND(F601&lt;&gt;"",G601&lt;&gt;""),H601,0)</f>
      </c>
      <c r="F602" s="9"/>
      <c r="G602" s="9"/>
      <c r="H602" s="3">
        <f>E602-IF(F602="",0,F602)-IF(G602="",0,G602)</f>
      </c>
      <c r="I602" s="12"/>
    </row>
    <row r="603" ht="21.0" customHeight="1">
      <c r="A603" s="9"/>
      <c r="B603" s="9"/>
      <c r="C603" s="9"/>
      <c r="D603" s="2"/>
      <c r="E603" s="3">
        <f>9326.75+IF(AND(F602&lt;&gt;"",G602&lt;&gt;""),H602,0)</f>
      </c>
      <c r="F603" s="9"/>
      <c r="G603" s="9"/>
      <c r="H603" s="3">
        <f>E603-IF(F603="",0,F603)-IF(G603="",0,G603)</f>
      </c>
      <c r="I603" s="12"/>
    </row>
    <row r="604" ht="21.0" customHeight="1">
      <c r="A604" s="9"/>
      <c r="B604" s="9"/>
      <c r="C604" s="9"/>
      <c r="D604" s="2"/>
      <c r="E604" s="3">
        <f>9326.75+IF(AND(F603&lt;&gt;"",G603&lt;&gt;""),H603,0)</f>
      </c>
      <c r="F604" s="9"/>
      <c r="G604" s="9"/>
      <c r="H604" s="3">
        <f>E604-IF(F604="",0,F604)-IF(G604="",0,G604)</f>
      </c>
      <c r="I604" s="12"/>
    </row>
    <row r="605" ht="21.0" customHeight="1">
      <c r="A605" s="9"/>
      <c r="B605" s="9"/>
      <c r="C605" s="9"/>
      <c r="D605" s="2"/>
      <c r="E605" s="3">
        <f>9326.75+IF(AND(F604&lt;&gt;"",G604&lt;&gt;""),H604,0)</f>
      </c>
      <c r="F605" s="9"/>
      <c r="G605" s="9"/>
      <c r="H605" s="3">
        <f>E605-IF(F605="",0,F605)-IF(G605="",0,G605)</f>
      </c>
      <c r="I605" s="12"/>
    </row>
    <row r="606" ht="21.0" customHeight="1">
      <c r="A606" s="9"/>
      <c r="B606" s="9"/>
      <c r="C606" s="9"/>
      <c r="D606" s="2"/>
      <c r="E606" s="3">
        <f>9326.75+IF(AND(F605&lt;&gt;"",G605&lt;&gt;""),H605,0)</f>
      </c>
      <c r="F606" s="9"/>
      <c r="G606" s="9"/>
      <c r="H606" s="3">
        <f>E606-IF(F606="",0,F606)-IF(G606="",0,G606)</f>
      </c>
      <c r="I606" s="12"/>
    </row>
    <row r="607" ht="21.0" customHeight="1">
      <c r="A607" s="9"/>
      <c r="B607" s="9"/>
      <c r="C607" s="9"/>
      <c r="D607" s="2"/>
      <c r="E607" s="3">
        <f>9326.75+IF(AND(F606&lt;&gt;"",G606&lt;&gt;""),H606,0)</f>
      </c>
      <c r="F607" s="9"/>
      <c r="G607" s="9"/>
      <c r="H607" s="3">
        <f>E607-IF(F607="",0,F607)-IF(G607="",0,G607)</f>
      </c>
      <c r="I607" s="12"/>
    </row>
    <row r="608" ht="21.0" customHeight="1">
      <c r="A608" s="9"/>
      <c r="B608" s="9"/>
      <c r="C608" s="9"/>
      <c r="D608" s="2"/>
      <c r="E608" s="3">
        <f>9326.75+IF(AND(F607&lt;&gt;"",G607&lt;&gt;""),H607,0)</f>
      </c>
      <c r="F608" s="9"/>
      <c r="G608" s="9"/>
      <c r="H608" s="3">
        <f>E608-IF(F608="",0,F608)-IF(G608="",0,G608)</f>
      </c>
      <c r="I608" s="12"/>
    </row>
    <row r="609" ht="21.0" customHeight="1">
      <c r="A609" s="9"/>
      <c r="B609" s="9"/>
      <c r="C609" s="9"/>
      <c r="D609" s="2"/>
      <c r="E609" s="3">
        <f>9326.75+IF(AND(F608&lt;&gt;"",G608&lt;&gt;""),H608,0)</f>
      </c>
      <c r="F609" s="9"/>
      <c r="G609" s="9"/>
      <c r="H609" s="3">
        <f>E609-IF(F609="",0,F609)-IF(G609="",0,G609)</f>
      </c>
      <c r="I609" s="12"/>
    </row>
    <row r="610" ht="21.0" customHeight="1">
      <c r="A610" s="9"/>
      <c r="B610" s="9"/>
      <c r="C610" s="9"/>
      <c r="D610" s="2"/>
      <c r="E610" s="3">
        <f>9326.75+IF(AND(F609&lt;&gt;"",G609&lt;&gt;""),H609,0)</f>
      </c>
      <c r="F610" s="9"/>
      <c r="G610" s="9"/>
      <c r="H610" s="3">
        <f>E610-IF(F610="",0,F610)-IF(G610="",0,G610)</f>
      </c>
      <c r="I610" s="12"/>
    </row>
    <row r="611" ht="21.0" customHeight="1">
      <c r="A611" s="9"/>
      <c r="B611" s="9"/>
      <c r="C611" s="9"/>
      <c r="D611" s="2"/>
      <c r="E611" s="3">
        <f>9326.75+IF(AND(F610&lt;&gt;"",G610&lt;&gt;""),H610,0)</f>
      </c>
      <c r="F611" s="9"/>
      <c r="G611" s="9"/>
      <c r="H611" s="3">
        <f>E611-IF(F611="",0,F611)-IF(G611="",0,G611)</f>
      </c>
      <c r="I611" s="12"/>
    </row>
    <row r="612" ht="21.0" customHeight="1">
      <c r="A612" s="9"/>
      <c r="B612" s="9"/>
      <c r="C612" s="9"/>
      <c r="D612" s="2"/>
      <c r="E612" s="3">
        <f>9326.75+IF(AND(F611&lt;&gt;"",G611&lt;&gt;""),H611,0)</f>
      </c>
      <c r="F612" s="9"/>
      <c r="G612" s="9"/>
      <c r="H612" s="3">
        <f>E612-IF(F612="",0,F612)-IF(G612="",0,G612)</f>
      </c>
      <c r="I612" s="12"/>
    </row>
    <row r="613" ht="21.0" customHeight="1">
      <c r="A613" s="9"/>
      <c r="B613" s="9"/>
      <c r="C613" s="9"/>
      <c r="D613" s="2"/>
      <c r="E613" s="3">
        <f>9326.75+IF(AND(F612&lt;&gt;"",G612&lt;&gt;""),H612,0)</f>
      </c>
      <c r="F613" s="9"/>
      <c r="G613" s="9"/>
      <c r="H613" s="3">
        <f>E613-IF(F613="",0,F613)-IF(G613="",0,G613)</f>
      </c>
      <c r="I613" s="12"/>
    </row>
    <row r="614" ht="21.0" customHeight="1">
      <c r="A614" s="9"/>
      <c r="B614" s="9"/>
      <c r="C614" s="9"/>
      <c r="D614" s="2"/>
      <c r="E614" s="3">
        <f>9326.75+IF(AND(F613&lt;&gt;"",G613&lt;&gt;""),H613,0)</f>
      </c>
      <c r="F614" s="9"/>
      <c r="G614" s="9"/>
      <c r="H614" s="3">
        <f>E614-IF(F614="",0,F614)-IF(G614="",0,G614)</f>
      </c>
      <c r="I614" s="12"/>
    </row>
    <row r="615" ht="21.0" customHeight="1">
      <c r="A615" s="9"/>
      <c r="B615" s="9"/>
      <c r="C615" s="9"/>
      <c r="D615" s="2"/>
      <c r="E615" s="3">
        <f>9326.75+IF(AND(F614&lt;&gt;"",G614&lt;&gt;""),H614,0)</f>
      </c>
      <c r="F615" s="9"/>
      <c r="G615" s="9"/>
      <c r="H615" s="3">
        <f>E615-IF(F615="",0,F615)-IF(G615="",0,G615)</f>
      </c>
      <c r="I615" s="12"/>
    </row>
    <row r="616" ht="21.0" customHeight="1">
      <c r="A616" s="9"/>
      <c r="B616" s="9"/>
      <c r="C616" s="9"/>
      <c r="D616" s="2"/>
      <c r="E616" s="3">
        <f>9326.75+IF(AND(F615&lt;&gt;"",G615&lt;&gt;""),H615,0)</f>
      </c>
      <c r="F616" s="9"/>
      <c r="G616" s="9"/>
      <c r="H616" s="3">
        <f>E616-IF(F616="",0,F616)-IF(G616="",0,G616)</f>
      </c>
      <c r="I616" s="12"/>
    </row>
    <row r="617" ht="21.0" customHeight="1">
      <c r="A617" s="9"/>
      <c r="B617" s="9"/>
      <c r="C617" s="9"/>
      <c r="D617" s="2"/>
      <c r="E617" s="3">
        <f>9326.75+IF(AND(F616&lt;&gt;"",G616&lt;&gt;""),H616,0)</f>
      </c>
      <c r="F617" s="9"/>
      <c r="G617" s="9"/>
      <c r="H617" s="3">
        <f>E617-IF(F617="",0,F617)-IF(G617="",0,G617)</f>
      </c>
      <c r="I617" s="12"/>
    </row>
    <row r="618" ht="21.0" customHeight="1">
      <c r="A618" s="9"/>
      <c r="B618" s="9"/>
      <c r="C618" s="9"/>
      <c r="D618" s="2"/>
      <c r="E618" s="3">
        <f>9326.75+IF(AND(F617&lt;&gt;"",G617&lt;&gt;""),H617,0)</f>
      </c>
      <c r="F618" s="9"/>
      <c r="G618" s="9"/>
      <c r="H618" s="3">
        <f>E618-IF(F618="",0,F618)-IF(G618="",0,G618)</f>
      </c>
      <c r="I618" s="12"/>
    </row>
    <row r="619" ht="21.0" customHeight="1">
      <c r="A619" s="9"/>
      <c r="B619" s="9"/>
      <c r="C619" s="9"/>
      <c r="D619" s="2"/>
      <c r="E619" s="3">
        <f>9326.75+IF(AND(F618&lt;&gt;"",G618&lt;&gt;""),H618,0)</f>
      </c>
      <c r="F619" s="9"/>
      <c r="G619" s="9"/>
      <c r="H619" s="3">
        <f>E619-IF(F619="",0,F619)-IF(G619="",0,G619)</f>
      </c>
      <c r="I619" s="12"/>
    </row>
    <row r="620" ht="21.0" customHeight="1">
      <c r="A620" s="9"/>
      <c r="B620" s="9"/>
      <c r="C620" s="9"/>
      <c r="D620" s="2"/>
      <c r="E620" s="3">
        <f>9326.75+IF(AND(F619&lt;&gt;"",G619&lt;&gt;""),H619,0)</f>
      </c>
      <c r="F620" s="9"/>
      <c r="G620" s="9"/>
      <c r="H620" s="3">
        <f>E620-IF(F620="",0,F620)-IF(G620="",0,G620)</f>
      </c>
      <c r="I620" s="12"/>
    </row>
    <row r="621" ht="21.0" customHeight="1">
      <c r="A621" s="9"/>
      <c r="B621" s="9"/>
      <c r="C621" s="9"/>
      <c r="D621" s="2"/>
      <c r="E621" s="3">
        <f>9326.75+IF(AND(F620&lt;&gt;"",G620&lt;&gt;""),H620,0)</f>
      </c>
      <c r="F621" s="9"/>
      <c r="G621" s="9"/>
      <c r="H621" s="3">
        <f>E621-IF(F621="",0,F621)-IF(G621="",0,G621)</f>
      </c>
      <c r="I621" s="12"/>
    </row>
    <row r="622" ht="21.0" customHeight="1">
      <c r="A622" s="9"/>
      <c r="B622" s="9"/>
      <c r="C622" s="9"/>
      <c r="D622" s="2"/>
      <c r="E622" s="3">
        <f>9326.75+IF(AND(F621&lt;&gt;"",G621&lt;&gt;""),H621,0)</f>
      </c>
      <c r="F622" s="9"/>
      <c r="G622" s="9"/>
      <c r="H622" s="3">
        <f>E622-IF(F622="",0,F622)-IF(G622="",0,G622)</f>
      </c>
      <c r="I622" s="12"/>
    </row>
    <row r="623" ht="21.0" customHeight="1">
      <c r="A623" s="9"/>
      <c r="B623" s="9"/>
      <c r="C623" s="9"/>
      <c r="D623" s="2"/>
      <c r="E623" s="3">
        <f>9326.75+IF(AND(F622&lt;&gt;"",G622&lt;&gt;""),H622,0)</f>
      </c>
      <c r="F623" s="9"/>
      <c r="G623" s="9"/>
      <c r="H623" s="3">
        <f>E623-IF(F623="",0,F623)-IF(G623="",0,G623)</f>
      </c>
      <c r="I623" s="12"/>
    </row>
    <row r="624" ht="21.0" customHeight="1">
      <c r="A624" s="9"/>
      <c r="B624" s="9"/>
      <c r="C624" s="9"/>
      <c r="D624" s="2"/>
      <c r="E624" s="3">
        <f>9326.75+IF(AND(F623&lt;&gt;"",G623&lt;&gt;""),H623,0)</f>
      </c>
      <c r="F624" s="9"/>
      <c r="G624" s="9"/>
      <c r="H624" s="3">
        <f>E624-IF(F624="",0,F624)-IF(G624="",0,G624)</f>
      </c>
      <c r="I624" s="12"/>
    </row>
    <row r="625" ht="21.0" customHeight="1">
      <c r="A625" s="9"/>
      <c r="B625" s="9"/>
      <c r="C625" s="9"/>
      <c r="D625" s="2"/>
      <c r="E625" s="3">
        <f>9326.75+IF(AND(F624&lt;&gt;"",G624&lt;&gt;""),H624,0)</f>
      </c>
      <c r="F625" s="9"/>
      <c r="G625" s="9"/>
      <c r="H625" s="3">
        <f>E625-IF(F625="",0,F625)-IF(G625="",0,G625)</f>
      </c>
      <c r="I625" s="12"/>
    </row>
    <row r="626" ht="21.0" customHeight="1">
      <c r="A626" s="9"/>
      <c r="B626" s="9"/>
      <c r="C626" s="9"/>
      <c r="D626" s="2"/>
      <c r="E626" s="3">
        <f>9326.75+IF(AND(F625&lt;&gt;"",G625&lt;&gt;""),H625,0)</f>
      </c>
      <c r="F626" s="9"/>
      <c r="G626" s="9"/>
      <c r="H626" s="3">
        <f>E626-IF(F626="",0,F626)-IF(G626="",0,G626)</f>
      </c>
      <c r="I626" s="12"/>
    </row>
    <row r="627" ht="21.0" customHeight="1">
      <c r="A627" s="9"/>
      <c r="B627" s="9"/>
      <c r="C627" s="9"/>
      <c r="D627" s="2"/>
      <c r="E627" s="3">
        <f>9326.75+IF(AND(F626&lt;&gt;"",G626&lt;&gt;""),H626,0)</f>
      </c>
      <c r="F627" s="9"/>
      <c r="G627" s="9"/>
      <c r="H627" s="3">
        <f>E627-IF(F627="",0,F627)-IF(G627="",0,G627)</f>
      </c>
      <c r="I627" s="12"/>
    </row>
    <row r="628" ht="21.0" customHeight="1">
      <c r="A628" s="9"/>
      <c r="B628" s="9"/>
      <c r="C628" s="9"/>
      <c r="D628" s="2"/>
      <c r="E628" s="3">
        <f>9326.75+IF(AND(F627&lt;&gt;"",G627&lt;&gt;""),H627,0)</f>
      </c>
      <c r="F628" s="9"/>
      <c r="G628" s="9"/>
      <c r="H628" s="3">
        <f>E628-IF(F628="",0,F628)-IF(G628="",0,G628)</f>
      </c>
      <c r="I628" s="12"/>
    </row>
    <row r="629" ht="21.0" customHeight="1">
      <c r="A629" s="9"/>
      <c r="B629" s="9"/>
      <c r="C629" s="9"/>
      <c r="D629" s="2"/>
      <c r="E629" s="3">
        <f>9326.75+IF(AND(F628&lt;&gt;"",G628&lt;&gt;""),H628,0)</f>
      </c>
      <c r="F629" s="9"/>
      <c r="G629" s="9"/>
      <c r="H629" s="3">
        <f>E629-IF(F629="",0,F629)-IF(G629="",0,G629)</f>
      </c>
      <c r="I629" s="12"/>
    </row>
    <row r="630" ht="21.0" customHeight="1">
      <c r="A630" s="9"/>
      <c r="B630" s="9"/>
      <c r="C630" s="9"/>
      <c r="D630" s="2"/>
      <c r="E630" s="3">
        <f>9326.75+IF(AND(F629&lt;&gt;"",G629&lt;&gt;""),H629,0)</f>
      </c>
      <c r="F630" s="9"/>
      <c r="G630" s="9"/>
      <c r="H630" s="3">
        <f>E630-IF(F630="",0,F630)-IF(G630="",0,G630)</f>
      </c>
      <c r="I630" s="12"/>
    </row>
    <row r="631" ht="21.0" customHeight="1">
      <c r="A631" s="9"/>
      <c r="B631" s="9"/>
      <c r="C631" s="9"/>
      <c r="D631" s="2"/>
      <c r="E631" s="3">
        <f>9326.75+IF(AND(F630&lt;&gt;"",G630&lt;&gt;""),H630,0)</f>
      </c>
      <c r="F631" s="9"/>
      <c r="G631" s="9"/>
      <c r="H631" s="3">
        <f>E631-IF(F631="",0,F631)-IF(G631="",0,G631)</f>
      </c>
      <c r="I631" s="12"/>
    </row>
    <row r="632" ht="21.0" customHeight="1">
      <c r="A632" s="9"/>
      <c r="B632" s="9"/>
      <c r="C632" s="9"/>
      <c r="D632" s="2"/>
      <c r="E632" s="3">
        <f>9326.75+IF(AND(F631&lt;&gt;"",G631&lt;&gt;""),H631,0)</f>
      </c>
      <c r="F632" s="9"/>
      <c r="G632" s="9"/>
      <c r="H632" s="3">
        <f>E632-IF(F632="",0,F632)-IF(G632="",0,G632)</f>
      </c>
      <c r="I632" s="12"/>
    </row>
    <row r="633" ht="21.0" customHeight="1">
      <c r="A633" s="9"/>
      <c r="B633" s="9"/>
      <c r="C633" s="9"/>
      <c r="D633" s="2"/>
      <c r="E633" s="3">
        <f>9326.75+IF(AND(F632&lt;&gt;"",G632&lt;&gt;""),H632,0)</f>
      </c>
      <c r="F633" s="9"/>
      <c r="G633" s="9"/>
      <c r="H633" s="3">
        <f>E633-IF(F633="",0,F633)-IF(G633="",0,G633)</f>
      </c>
      <c r="I633" s="12"/>
    </row>
    <row r="634" ht="21.0" customHeight="1">
      <c r="A634" s="9"/>
      <c r="B634" s="9"/>
      <c r="C634" s="9"/>
      <c r="D634" s="2"/>
      <c r="E634" s="3">
        <f>9326.75+IF(AND(F633&lt;&gt;"",G633&lt;&gt;""),H633,0)</f>
      </c>
      <c r="F634" s="9"/>
      <c r="G634" s="9"/>
      <c r="H634" s="3">
        <f>E634-IF(F634="",0,F634)-IF(G634="",0,G634)</f>
      </c>
      <c r="I634" s="12"/>
    </row>
    <row r="635" ht="21.0" customHeight="1">
      <c r="A635" s="9"/>
      <c r="B635" s="9"/>
      <c r="C635" s="9"/>
      <c r="D635" s="2"/>
      <c r="E635" s="3">
        <f>9326.75+IF(AND(F634&lt;&gt;"",G634&lt;&gt;""),H634,0)</f>
      </c>
      <c r="F635" s="9"/>
      <c r="G635" s="9"/>
      <c r="H635" s="3">
        <f>E635-IF(F635="",0,F635)-IF(G635="",0,G635)</f>
      </c>
      <c r="I635" s="12"/>
    </row>
    <row r="636" ht="21.0" customHeight="1">
      <c r="A636" s="9"/>
      <c r="B636" s="9"/>
      <c r="C636" s="9"/>
      <c r="D636" s="2"/>
      <c r="E636" s="3">
        <f>9326.75+IF(AND(F635&lt;&gt;"",G635&lt;&gt;""),H635,0)</f>
      </c>
      <c r="F636" s="9"/>
      <c r="G636" s="9"/>
      <c r="H636" s="3">
        <f>E636-IF(F636="",0,F636)-IF(G636="",0,G636)</f>
      </c>
      <c r="I636" s="12"/>
    </row>
    <row r="637" ht="21.0" customHeight="1">
      <c r="A637" s="9"/>
      <c r="B637" s="9"/>
      <c r="C637" s="9"/>
      <c r="D637" s="2"/>
      <c r="E637" s="3">
        <f>9326.75+IF(AND(F636&lt;&gt;"",G636&lt;&gt;""),H636,0)</f>
      </c>
      <c r="F637" s="9"/>
      <c r="G637" s="9"/>
      <c r="H637" s="3">
        <f>E637-IF(F637="",0,F637)-IF(G637="",0,G637)</f>
      </c>
      <c r="I637" s="12"/>
    </row>
    <row r="638" ht="21.0" customHeight="1">
      <c r="A638" s="9"/>
      <c r="B638" s="9"/>
      <c r="C638" s="9"/>
      <c r="D638" s="2"/>
      <c r="E638" s="3">
        <f>9326.75+IF(AND(F637&lt;&gt;"",G637&lt;&gt;""),H637,0)</f>
      </c>
      <c r="F638" s="9"/>
      <c r="G638" s="9"/>
      <c r="H638" s="3">
        <f>E638-IF(F638="",0,F638)-IF(G638="",0,G638)</f>
      </c>
      <c r="I638" s="12"/>
    </row>
    <row r="639" ht="21.0" customHeight="1">
      <c r="A639" s="9"/>
      <c r="B639" s="9"/>
      <c r="C639" s="9"/>
      <c r="D639" s="2"/>
      <c r="E639" s="3">
        <f>9326.75+IF(AND(F638&lt;&gt;"",G638&lt;&gt;""),H638,0)</f>
      </c>
      <c r="F639" s="9"/>
      <c r="G639" s="9"/>
      <c r="H639" s="3">
        <f>E639-IF(F639="",0,F639)-IF(G639="",0,G639)</f>
      </c>
      <c r="I639" s="12"/>
    </row>
    <row r="640" ht="21.0" customHeight="1">
      <c r="A640" s="9"/>
      <c r="B640" s="9"/>
      <c r="C640" s="9"/>
      <c r="D640" s="2"/>
      <c r="E640" s="3">
        <f>9326.75+IF(AND(F639&lt;&gt;"",G639&lt;&gt;""),H639,0)</f>
      </c>
      <c r="F640" s="9"/>
      <c r="G640" s="9"/>
      <c r="H640" s="3">
        <f>E640-IF(F640="",0,F640)-IF(G640="",0,G640)</f>
      </c>
      <c r="I640" s="12"/>
    </row>
    <row r="641" ht="21.0" customHeight="1">
      <c r="A641" s="9"/>
      <c r="B641" s="9"/>
      <c r="C641" s="9"/>
      <c r="D641" s="2"/>
      <c r="E641" s="3">
        <f>9326.75+IF(AND(F640&lt;&gt;"",G640&lt;&gt;""),H640,0)</f>
      </c>
      <c r="F641" s="9"/>
      <c r="G641" s="9"/>
      <c r="H641" s="3">
        <f>E641-IF(F641="",0,F641)-IF(G641="",0,G641)</f>
      </c>
      <c r="I641" s="12"/>
    </row>
    <row r="642" ht="21.0" customHeight="1">
      <c r="A642" s="9"/>
      <c r="B642" s="9"/>
      <c r="C642" s="9"/>
      <c r="D642" s="2"/>
      <c r="E642" s="3">
        <f>9326.75+IF(AND(F641&lt;&gt;"",G641&lt;&gt;""),H641,0)</f>
      </c>
      <c r="F642" s="9"/>
      <c r="G642" s="9"/>
      <c r="H642" s="3">
        <f>E642-IF(F642="",0,F642)-IF(G642="",0,G642)</f>
      </c>
      <c r="I642" s="12"/>
    </row>
    <row r="643" ht="21.0" customHeight="1">
      <c r="A643" s="9"/>
      <c r="B643" s="9"/>
      <c r="C643" s="9"/>
      <c r="D643" s="2"/>
      <c r="E643" s="3">
        <f>9326.75+IF(AND(F642&lt;&gt;"",G642&lt;&gt;""),H642,0)</f>
      </c>
      <c r="F643" s="9"/>
      <c r="G643" s="9"/>
      <c r="H643" s="3">
        <f>E643-IF(F643="",0,F643)-IF(G643="",0,G643)</f>
      </c>
      <c r="I643" s="12"/>
    </row>
    <row r="644" ht="21.0" customHeight="1">
      <c r="A644" s="9"/>
      <c r="B644" s="9"/>
      <c r="C644" s="9"/>
      <c r="D644" s="2"/>
      <c r="E644" s="3">
        <f>9326.75+IF(AND(F643&lt;&gt;"",G643&lt;&gt;""),H643,0)</f>
      </c>
      <c r="F644" s="9"/>
      <c r="G644" s="9"/>
      <c r="H644" s="3">
        <f>E644-IF(F644="",0,F644)-IF(G644="",0,G644)</f>
      </c>
      <c r="I644" s="12"/>
    </row>
    <row r="645" ht="21.0" customHeight="1">
      <c r="A645" s="9"/>
      <c r="B645" s="9"/>
      <c r="C645" s="9"/>
      <c r="D645" s="2"/>
      <c r="E645" s="3">
        <f>9326.75+IF(AND(F644&lt;&gt;"",G644&lt;&gt;""),H644,0)</f>
      </c>
      <c r="F645" s="9"/>
      <c r="G645" s="9"/>
      <c r="H645" s="3">
        <f>E645-IF(F645="",0,F645)-IF(G645="",0,G645)</f>
      </c>
      <c r="I645" s="12"/>
    </row>
    <row r="646" ht="21.0" customHeight="1">
      <c r="A646" s="9"/>
      <c r="B646" s="9"/>
      <c r="C646" s="9"/>
      <c r="D646" s="2"/>
      <c r="E646" s="3">
        <f>9326.75+IF(AND(F645&lt;&gt;"",G645&lt;&gt;""),H645,0)</f>
      </c>
      <c r="F646" s="9"/>
      <c r="G646" s="9"/>
      <c r="H646" s="3">
        <f>E646-IF(F646="",0,F646)-IF(G646="",0,G646)</f>
      </c>
      <c r="I646" s="12"/>
    </row>
    <row r="647" ht="21.0" customHeight="1">
      <c r="A647" s="9"/>
      <c r="B647" s="9"/>
      <c r="C647" s="9"/>
      <c r="D647" s="2"/>
      <c r="E647" s="3">
        <f>9326.75+IF(AND(F646&lt;&gt;"",G646&lt;&gt;""),H646,0)</f>
      </c>
      <c r="F647" s="9"/>
      <c r="G647" s="9"/>
      <c r="H647" s="3">
        <f>E647-IF(F647="",0,F647)-IF(G647="",0,G647)</f>
      </c>
      <c r="I647" s="12"/>
    </row>
    <row r="648" ht="21.0" customHeight="1">
      <c r="A648" s="9"/>
      <c r="B648" s="9"/>
      <c r="C648" s="9"/>
      <c r="D648" s="2"/>
      <c r="E648" s="3">
        <f>9326.75+IF(AND(F647&lt;&gt;"",G647&lt;&gt;""),H647,0)</f>
      </c>
      <c r="F648" s="9"/>
      <c r="G648" s="9"/>
      <c r="H648" s="3">
        <f>E648-IF(F648="",0,F648)-IF(G648="",0,G648)</f>
      </c>
      <c r="I648" s="12"/>
    </row>
    <row r="649" ht="21.0" customHeight="1">
      <c r="A649" s="9"/>
      <c r="B649" s="9"/>
      <c r="C649" s="9"/>
      <c r="D649" s="2"/>
      <c r="E649" s="3">
        <f>9326.75+IF(AND(F648&lt;&gt;"",G648&lt;&gt;""),H648,0)</f>
      </c>
      <c r="F649" s="9"/>
      <c r="G649" s="9"/>
      <c r="H649" s="3">
        <f>E649-IF(F649="",0,F649)-IF(G649="",0,G649)</f>
      </c>
      <c r="I649" s="12"/>
    </row>
    <row r="650" ht="21.0" customHeight="1">
      <c r="A650" s="9"/>
      <c r="B650" s="9"/>
      <c r="C650" s="9"/>
      <c r="D650" s="2"/>
      <c r="E650" s="3">
        <f>9326.75+IF(AND(F649&lt;&gt;"",G649&lt;&gt;""),H649,0)</f>
      </c>
      <c r="F650" s="9"/>
      <c r="G650" s="9"/>
      <c r="H650" s="3">
        <f>E650-IF(F650="",0,F650)-IF(G650="",0,G650)</f>
      </c>
      <c r="I650" s="12"/>
    </row>
    <row r="651" ht="21.0" customHeight="1">
      <c r="A651" s="9"/>
      <c r="B651" s="9"/>
      <c r="C651" s="9"/>
      <c r="D651" s="2"/>
      <c r="E651" s="3">
        <f>9326.75+IF(AND(F650&lt;&gt;"",G650&lt;&gt;""),H650,0)</f>
      </c>
      <c r="F651" s="9"/>
      <c r="G651" s="9"/>
      <c r="H651" s="3">
        <f>E651-IF(F651="",0,F651)-IF(G651="",0,G651)</f>
      </c>
      <c r="I651" s="12"/>
    </row>
    <row r="652" ht="21.0" customHeight="1">
      <c r="A652" s="9"/>
      <c r="B652" s="9"/>
      <c r="C652" s="9"/>
      <c r="D652" s="2"/>
      <c r="E652" s="3">
        <f>9326.75+IF(AND(F651&lt;&gt;"",G651&lt;&gt;""),H651,0)</f>
      </c>
      <c r="F652" s="9"/>
      <c r="G652" s="9"/>
      <c r="H652" s="3">
        <f>E652-IF(F652="",0,F652)-IF(G652="",0,G652)</f>
      </c>
      <c r="I652" s="12"/>
    </row>
    <row r="653" ht="21.0" customHeight="1">
      <c r="A653" s="9"/>
      <c r="B653" s="9"/>
      <c r="C653" s="9"/>
      <c r="D653" s="2"/>
      <c r="E653" s="3">
        <f>9326.75+IF(AND(F652&lt;&gt;"",G652&lt;&gt;""),H652,0)</f>
      </c>
      <c r="F653" s="9"/>
      <c r="G653" s="9"/>
      <c r="H653" s="3">
        <f>E653-IF(F653="",0,F653)-IF(G653="",0,G653)</f>
      </c>
      <c r="I653" s="12"/>
    </row>
    <row r="654" ht="21.0" customHeight="1">
      <c r="A654" s="9"/>
      <c r="B654" s="9"/>
      <c r="C654" s="9"/>
      <c r="D654" s="2"/>
      <c r="E654" s="3">
        <f>9326.75+IF(AND(F653&lt;&gt;"",G653&lt;&gt;""),H653,0)</f>
      </c>
      <c r="F654" s="9"/>
      <c r="G654" s="9"/>
      <c r="H654" s="3">
        <f>E654-IF(F654="",0,F654)-IF(G654="",0,G654)</f>
      </c>
      <c r="I654" s="12"/>
    </row>
    <row r="655" ht="21.0" customHeight="1">
      <c r="A655" s="9"/>
      <c r="B655" s="9"/>
      <c r="C655" s="9"/>
      <c r="D655" s="2"/>
      <c r="E655" s="3">
        <f>9326.75+IF(AND(F654&lt;&gt;"",G654&lt;&gt;""),H654,0)</f>
      </c>
      <c r="F655" s="9"/>
      <c r="G655" s="9"/>
      <c r="H655" s="3">
        <f>E655-IF(F655="",0,F655)-IF(G655="",0,G655)</f>
      </c>
      <c r="I655" s="12"/>
    </row>
    <row r="656" ht="21.0" customHeight="1">
      <c r="A656" s="9"/>
      <c r="B656" s="9"/>
      <c r="C656" s="9"/>
      <c r="D656" s="2"/>
      <c r="E656" s="3">
        <f>9326.75+IF(AND(F655&lt;&gt;"",G655&lt;&gt;""),H655,0)</f>
      </c>
      <c r="F656" s="9"/>
      <c r="G656" s="9"/>
      <c r="H656" s="3">
        <f>E656-IF(F656="",0,F656)-IF(G656="",0,G656)</f>
      </c>
      <c r="I656" s="12"/>
    </row>
    <row r="657" ht="21.0" customHeight="1">
      <c r="A657" s="9"/>
      <c r="B657" s="9"/>
      <c r="C657" s="9"/>
      <c r="D657" s="2"/>
      <c r="E657" s="3">
        <f>9326.75+IF(AND(F656&lt;&gt;"",G656&lt;&gt;""),H656,0)</f>
      </c>
      <c r="F657" s="9"/>
      <c r="G657" s="9"/>
      <c r="H657" s="3">
        <f>E657-IF(F657="",0,F657)-IF(G657="",0,G657)</f>
      </c>
      <c r="I657" s="12"/>
    </row>
    <row r="658" ht="21.0" customHeight="1">
      <c r="A658" s="9"/>
      <c r="B658" s="9"/>
      <c r="C658" s="9"/>
      <c r="D658" s="2"/>
      <c r="E658" s="3">
        <f>9326.75+IF(AND(F657&lt;&gt;"",G657&lt;&gt;""),H657,0)</f>
      </c>
      <c r="F658" s="9"/>
      <c r="G658" s="9"/>
      <c r="H658" s="3">
        <f>E658-IF(F658="",0,F658)-IF(G658="",0,G658)</f>
      </c>
      <c r="I658" s="12"/>
    </row>
    <row r="659" ht="21.0" customHeight="1">
      <c r="A659" s="9"/>
      <c r="B659" s="9"/>
      <c r="C659" s="9"/>
      <c r="D659" s="2"/>
      <c r="E659" s="3">
        <f>9326.75+IF(AND(F658&lt;&gt;"",G658&lt;&gt;""),H658,0)</f>
      </c>
      <c r="F659" s="9"/>
      <c r="G659" s="9"/>
      <c r="H659" s="3">
        <f>E659-IF(F659="",0,F659)-IF(G659="",0,G659)</f>
      </c>
      <c r="I659" s="12"/>
    </row>
    <row r="660" ht="21.0" customHeight="1">
      <c r="A660" s="9"/>
      <c r="B660" s="9"/>
      <c r="C660" s="9"/>
      <c r="D660" s="2"/>
      <c r="E660" s="3">
        <f>9326.75+IF(AND(F659&lt;&gt;"",G659&lt;&gt;""),H659,0)</f>
      </c>
      <c r="F660" s="9"/>
      <c r="G660" s="9"/>
      <c r="H660" s="3">
        <f>E660-IF(F660="",0,F660)-IF(G660="",0,G660)</f>
      </c>
      <c r="I660" s="12"/>
    </row>
    <row r="661" ht="21.0" customHeight="1">
      <c r="A661" s="9"/>
      <c r="B661" s="9"/>
      <c r="C661" s="9"/>
      <c r="D661" s="2"/>
      <c r="E661" s="3">
        <f>9326.75+IF(AND(F660&lt;&gt;"",G660&lt;&gt;""),H660,0)</f>
      </c>
      <c r="F661" s="9"/>
      <c r="G661" s="9"/>
      <c r="H661" s="3">
        <f>E661-IF(F661="",0,F661)-IF(G661="",0,G661)</f>
      </c>
      <c r="I661" s="12"/>
    </row>
    <row r="662" ht="21.0" customHeight="1">
      <c r="A662" s="9"/>
      <c r="B662" s="9"/>
      <c r="C662" s="9"/>
      <c r="D662" s="2"/>
      <c r="E662" s="3">
        <f>9326.75+IF(AND(F661&lt;&gt;"",G661&lt;&gt;""),H661,0)</f>
      </c>
      <c r="F662" s="9"/>
      <c r="G662" s="9"/>
      <c r="H662" s="3">
        <f>E662-IF(F662="",0,F662)-IF(G662="",0,G662)</f>
      </c>
      <c r="I662" s="12"/>
    </row>
    <row r="663" ht="21.0" customHeight="1">
      <c r="A663" s="9"/>
      <c r="B663" s="9"/>
      <c r="C663" s="9"/>
      <c r="D663" s="2"/>
      <c r="E663" s="3">
        <f>9326.75+IF(AND(F662&lt;&gt;"",G662&lt;&gt;""),H662,0)</f>
      </c>
      <c r="F663" s="9"/>
      <c r="G663" s="9"/>
      <c r="H663" s="3">
        <f>E663-IF(F663="",0,F663)-IF(G663="",0,G663)</f>
      </c>
      <c r="I663" s="12"/>
    </row>
    <row r="664" ht="21.0" customHeight="1">
      <c r="A664" s="9"/>
      <c r="B664" s="9"/>
      <c r="C664" s="9"/>
      <c r="D664" s="2"/>
      <c r="E664" s="3">
        <f>9326.75+IF(AND(F663&lt;&gt;"",G663&lt;&gt;""),H663,0)</f>
      </c>
      <c r="F664" s="9"/>
      <c r="G664" s="9"/>
      <c r="H664" s="3">
        <f>E664-IF(F664="",0,F664)-IF(G664="",0,G664)</f>
      </c>
      <c r="I664" s="12"/>
    </row>
    <row r="665" ht="21.0" customHeight="1">
      <c r="A665" s="9"/>
      <c r="B665" s="9"/>
      <c r="C665" s="9"/>
      <c r="D665" s="2"/>
      <c r="E665" s="3">
        <f>9326.75+IF(AND(F664&lt;&gt;"",G664&lt;&gt;""),H664,0)</f>
      </c>
      <c r="F665" s="9"/>
      <c r="G665" s="9"/>
      <c r="H665" s="3">
        <f>E665-IF(F665="",0,F665)-IF(G665="",0,G665)</f>
      </c>
      <c r="I665" s="12"/>
    </row>
    <row r="666" ht="21.0" customHeight="1">
      <c r="A666" s="9"/>
      <c r="B666" s="9"/>
      <c r="C666" s="9"/>
      <c r="D666" s="2"/>
      <c r="E666" s="3">
        <f>9326.75+IF(AND(F665&lt;&gt;"",G665&lt;&gt;""),H665,0)</f>
      </c>
      <c r="F666" s="9"/>
      <c r="G666" s="9"/>
      <c r="H666" s="3">
        <f>E666-IF(F666="",0,F666)-IF(G666="",0,G666)</f>
      </c>
      <c r="I666" s="12"/>
    </row>
    <row r="667" ht="21.0" customHeight="1">
      <c r="A667" s="9"/>
      <c r="B667" s="9"/>
      <c r="C667" s="9"/>
      <c r="D667" s="2"/>
      <c r="E667" s="3">
        <f>9326.75+IF(AND(F666&lt;&gt;"",G666&lt;&gt;""),H666,0)</f>
      </c>
      <c r="F667" s="9"/>
      <c r="G667" s="9"/>
      <c r="H667" s="3">
        <f>E667-IF(F667="",0,F667)-IF(G667="",0,G667)</f>
      </c>
      <c r="I667" s="12"/>
    </row>
    <row r="668" ht="21.0" customHeight="1">
      <c r="A668" s="9"/>
      <c r="B668" s="9"/>
      <c r="C668" s="9"/>
      <c r="D668" s="2"/>
      <c r="E668" s="3">
        <f>9326.75+IF(AND(F667&lt;&gt;"",G667&lt;&gt;""),H667,0)</f>
      </c>
      <c r="F668" s="9"/>
      <c r="G668" s="9"/>
      <c r="H668" s="3">
        <f>E668-IF(F668="",0,F668)-IF(G668="",0,G668)</f>
      </c>
      <c r="I668" s="12"/>
    </row>
    <row r="669" ht="21.0" customHeight="1">
      <c r="A669" s="9"/>
      <c r="B669" s="9"/>
      <c r="C669" s="9"/>
      <c r="D669" s="2"/>
      <c r="E669" s="3">
        <f>9326.75+IF(AND(F668&lt;&gt;"",G668&lt;&gt;""),H668,0)</f>
      </c>
      <c r="F669" s="9"/>
      <c r="G669" s="9"/>
      <c r="H669" s="3">
        <f>E669-IF(F669="",0,F669)-IF(G669="",0,G669)</f>
      </c>
      <c r="I669" s="12"/>
    </row>
    <row r="670" ht="21.0" customHeight="1">
      <c r="A670" s="9"/>
      <c r="B670" s="9"/>
      <c r="C670" s="9"/>
      <c r="D670" s="2"/>
      <c r="E670" s="3">
        <f>9326.75+IF(AND(F669&lt;&gt;"",G669&lt;&gt;""),H669,0)</f>
      </c>
      <c r="F670" s="9"/>
      <c r="G670" s="9"/>
      <c r="H670" s="3">
        <f>E670-IF(F670="",0,F670)-IF(G670="",0,G670)</f>
      </c>
      <c r="I670" s="12"/>
    </row>
    <row r="671" ht="21.0" customHeight="1">
      <c r="A671" s="9"/>
      <c r="B671" s="9"/>
      <c r="C671" s="9"/>
      <c r="D671" s="2"/>
      <c r="E671" s="3">
        <f>9326.75+IF(AND(F670&lt;&gt;"",G670&lt;&gt;""),H670,0)</f>
      </c>
      <c r="F671" s="9"/>
      <c r="G671" s="9"/>
      <c r="H671" s="3">
        <f>E671-IF(F671="",0,F671)-IF(G671="",0,G671)</f>
      </c>
      <c r="I671" s="12"/>
    </row>
    <row r="672" ht="21.0" customHeight="1">
      <c r="A672" s="9"/>
      <c r="B672" s="9"/>
      <c r="C672" s="9"/>
      <c r="D672" s="2"/>
      <c r="E672" s="3">
        <f>9326.75+IF(AND(F671&lt;&gt;"",G671&lt;&gt;""),H671,0)</f>
      </c>
      <c r="F672" s="9"/>
      <c r="G672" s="9"/>
      <c r="H672" s="3">
        <f>E672-IF(F672="",0,F672)-IF(G672="",0,G672)</f>
      </c>
      <c r="I672" s="12"/>
    </row>
    <row r="673" ht="21.0" customHeight="1">
      <c r="A673" s="9"/>
      <c r="B673" s="9"/>
      <c r="C673" s="9"/>
      <c r="D673" s="2"/>
      <c r="E673" s="3">
        <f>9326.75+IF(AND(F672&lt;&gt;"",G672&lt;&gt;""),H672,0)</f>
      </c>
      <c r="F673" s="9"/>
      <c r="G673" s="9"/>
      <c r="H673" s="3">
        <f>E673-IF(F673="",0,F673)-IF(G673="",0,G673)</f>
      </c>
      <c r="I673" s="12"/>
    </row>
    <row r="674" ht="21.0" customHeight="1">
      <c r="A674" s="9"/>
      <c r="B674" s="9"/>
      <c r="C674" s="9"/>
      <c r="D674" s="2"/>
      <c r="E674" s="3">
        <f>9326.75+IF(AND(F673&lt;&gt;"",G673&lt;&gt;""),H673,0)</f>
      </c>
      <c r="F674" s="9"/>
      <c r="G674" s="9"/>
      <c r="H674" s="3">
        <f>E674-IF(F674="",0,F674)-IF(G674="",0,G674)</f>
      </c>
      <c r="I674" s="12"/>
    </row>
    <row r="675" ht="21.0" customHeight="1">
      <c r="A675" s="9"/>
      <c r="B675" s="9"/>
      <c r="C675" s="9"/>
      <c r="D675" s="2"/>
      <c r="E675" s="3">
        <f>9326.75+IF(AND(F674&lt;&gt;"",G674&lt;&gt;""),H674,0)</f>
      </c>
      <c r="F675" s="9"/>
      <c r="G675" s="9"/>
      <c r="H675" s="3">
        <f>E675-IF(F675="",0,F675)-IF(G675="",0,G675)</f>
      </c>
      <c r="I675" s="12"/>
    </row>
    <row r="676" ht="21.0" customHeight="1">
      <c r="A676" s="9"/>
      <c r="B676" s="9"/>
      <c r="C676" s="9"/>
      <c r="D676" s="2"/>
      <c r="E676" s="3">
        <f>9326.75+IF(AND(F675&lt;&gt;"",G675&lt;&gt;""),H675,0)</f>
      </c>
      <c r="F676" s="9"/>
      <c r="G676" s="9"/>
      <c r="H676" s="3">
        <f>E676-IF(F676="",0,F676)-IF(G676="",0,G676)</f>
      </c>
      <c r="I676" s="12"/>
    </row>
    <row r="677" ht="21.0" customHeight="1">
      <c r="A677" s="9"/>
      <c r="B677" s="9"/>
      <c r="C677" s="9"/>
      <c r="D677" s="2"/>
      <c r="E677" s="3">
        <f>9326.75+IF(AND(F676&lt;&gt;"",G676&lt;&gt;""),H676,0)</f>
      </c>
      <c r="F677" s="9"/>
      <c r="G677" s="9"/>
      <c r="H677" s="3">
        <f>E677-IF(F677="",0,F677)-IF(G677="",0,G677)</f>
      </c>
      <c r="I677" s="12"/>
    </row>
    <row r="678" ht="21.0" customHeight="1">
      <c r="A678" s="9"/>
      <c r="B678" s="9"/>
      <c r="C678" s="9"/>
      <c r="D678" s="2"/>
      <c r="E678" s="3">
        <f>9326.75+IF(AND(F677&lt;&gt;"",G677&lt;&gt;""),H677,0)</f>
      </c>
      <c r="F678" s="9"/>
      <c r="G678" s="9"/>
      <c r="H678" s="3">
        <f>E678-IF(F678="",0,F678)-IF(G678="",0,G678)</f>
      </c>
      <c r="I678" s="12"/>
    </row>
    <row r="679" ht="21.0" customHeight="1">
      <c r="A679" s="9"/>
      <c r="B679" s="9"/>
      <c r="C679" s="9"/>
      <c r="D679" s="2"/>
      <c r="E679" s="3">
        <f>9326.75+IF(AND(F678&lt;&gt;"",G678&lt;&gt;""),H678,0)</f>
      </c>
      <c r="F679" s="9"/>
      <c r="G679" s="9"/>
      <c r="H679" s="3">
        <f>E679-IF(F679="",0,F679)-IF(G679="",0,G679)</f>
      </c>
      <c r="I679" s="12"/>
    </row>
    <row r="680" ht="21.0" customHeight="1">
      <c r="A680" s="9"/>
      <c r="B680" s="9"/>
      <c r="C680" s="9"/>
      <c r="D680" s="2"/>
      <c r="E680" s="3">
        <f>9326.75+IF(AND(F679&lt;&gt;"",G679&lt;&gt;""),H679,0)</f>
      </c>
      <c r="F680" s="9"/>
      <c r="G680" s="9"/>
      <c r="H680" s="3">
        <f>E680-IF(F680="",0,F680)-IF(G680="",0,G680)</f>
      </c>
      <c r="I680" s="12"/>
    </row>
    <row r="681" ht="21.0" customHeight="1">
      <c r="A681" s="9"/>
      <c r="B681" s="9"/>
      <c r="C681" s="9"/>
      <c r="D681" s="2"/>
      <c r="E681" s="3">
        <f>9326.75+IF(AND(F680&lt;&gt;"",G680&lt;&gt;""),H680,0)</f>
      </c>
      <c r="F681" s="9"/>
      <c r="G681" s="9"/>
      <c r="H681" s="3">
        <f>E681-IF(F681="",0,F681)-IF(G681="",0,G681)</f>
      </c>
      <c r="I681" s="12"/>
    </row>
    <row r="682" ht="21.0" customHeight="1">
      <c r="A682" s="9"/>
      <c r="B682" s="9"/>
      <c r="C682" s="9"/>
      <c r="D682" s="2"/>
      <c r="E682" s="3">
        <f>9326.75+IF(AND(F681&lt;&gt;"",G681&lt;&gt;""),H681,0)</f>
      </c>
      <c r="F682" s="9"/>
      <c r="G682" s="9"/>
      <c r="H682" s="3">
        <f>E682-IF(F682="",0,F682)-IF(G682="",0,G682)</f>
      </c>
      <c r="I682" s="12"/>
    </row>
    <row r="683" ht="21.0" customHeight="1">
      <c r="A683" s="9"/>
      <c r="B683" s="9"/>
      <c r="C683" s="9"/>
      <c r="D683" s="2"/>
      <c r="E683" s="3">
        <f>9326.75+IF(AND(F682&lt;&gt;"",G682&lt;&gt;""),H682,0)</f>
      </c>
      <c r="F683" s="9"/>
      <c r="G683" s="9"/>
      <c r="H683" s="3">
        <f>E683-IF(F683="",0,F683)-IF(G683="",0,G683)</f>
      </c>
      <c r="I683" s="12"/>
    </row>
    <row r="684" ht="21.0" customHeight="1">
      <c r="A684" s="9"/>
      <c r="B684" s="9"/>
      <c r="C684" s="9"/>
      <c r="D684" s="2"/>
      <c r="E684" s="3">
        <f>9326.75+IF(AND(F683&lt;&gt;"",G683&lt;&gt;""),H683,0)</f>
      </c>
      <c r="F684" s="9"/>
      <c r="G684" s="9"/>
      <c r="H684" s="3">
        <f>E684-IF(F684="",0,F684)-IF(G684="",0,G684)</f>
      </c>
      <c r="I684" s="12"/>
    </row>
    <row r="685" ht="21.0" customHeight="1">
      <c r="A685" s="9"/>
      <c r="B685" s="9"/>
      <c r="C685" s="9"/>
      <c r="D685" s="2"/>
      <c r="E685" s="3">
        <f>9326.75+IF(AND(F684&lt;&gt;"",G684&lt;&gt;""),H684,0)</f>
      </c>
      <c r="F685" s="9"/>
      <c r="G685" s="9"/>
      <c r="H685" s="3">
        <f>E685-IF(F685="",0,F685)-IF(G685="",0,G685)</f>
      </c>
      <c r="I685" s="12"/>
    </row>
    <row r="686" ht="21.0" customHeight="1">
      <c r="A686" s="9"/>
      <c r="B686" s="9"/>
      <c r="C686" s="9"/>
      <c r="D686" s="2"/>
      <c r="E686" s="3">
        <f>9326.75+IF(AND(F685&lt;&gt;"",G685&lt;&gt;""),H685,0)</f>
      </c>
      <c r="F686" s="9"/>
      <c r="G686" s="9"/>
      <c r="H686" s="3">
        <f>E686-IF(F686="",0,F686)-IF(G686="",0,G686)</f>
      </c>
      <c r="I686" s="12"/>
    </row>
    <row r="687" ht="21.0" customHeight="1">
      <c r="A687" s="9"/>
      <c r="B687" s="9"/>
      <c r="C687" s="9"/>
      <c r="D687" s="2"/>
      <c r="E687" s="3">
        <f>9326.75+IF(AND(F686&lt;&gt;"",G686&lt;&gt;""),H686,0)</f>
      </c>
      <c r="F687" s="9"/>
      <c r="G687" s="9"/>
      <c r="H687" s="3">
        <f>E687-IF(F687="",0,F687)-IF(G687="",0,G687)</f>
      </c>
      <c r="I687" s="12"/>
    </row>
    <row r="688" ht="21.0" customHeight="1">
      <c r="A688" s="9"/>
      <c r="B688" s="9"/>
      <c r="C688" s="9"/>
      <c r="D688" s="2"/>
      <c r="E688" s="3">
        <f>9326.75+IF(AND(F687&lt;&gt;"",G687&lt;&gt;""),H687,0)</f>
      </c>
      <c r="F688" s="9"/>
      <c r="G688" s="9"/>
      <c r="H688" s="3">
        <f>E688-IF(F688="",0,F688)-IF(G688="",0,G688)</f>
      </c>
      <c r="I688" s="12"/>
    </row>
    <row r="689" ht="21.0" customHeight="1">
      <c r="A689" s="9"/>
      <c r="B689" s="9"/>
      <c r="C689" s="9"/>
      <c r="D689" s="2"/>
      <c r="E689" s="3">
        <f>9326.75+IF(AND(F688&lt;&gt;"",G688&lt;&gt;""),H688,0)</f>
      </c>
      <c r="F689" s="9"/>
      <c r="G689" s="9"/>
      <c r="H689" s="3">
        <f>E689-IF(F689="",0,F689)-IF(G689="",0,G689)</f>
      </c>
      <c r="I689" s="12"/>
    </row>
    <row r="690" ht="21.0" customHeight="1">
      <c r="A690" s="9"/>
      <c r="B690" s="9"/>
      <c r="C690" s="9"/>
      <c r="D690" s="2"/>
      <c r="E690" s="3">
        <f>9326.75+IF(AND(F689&lt;&gt;"",G689&lt;&gt;""),H689,0)</f>
      </c>
      <c r="F690" s="9"/>
      <c r="G690" s="9"/>
      <c r="H690" s="3">
        <f>E690-IF(F690="",0,F690)-IF(G690="",0,G690)</f>
      </c>
      <c r="I690" s="12"/>
    </row>
    <row r="691" ht="21.0" customHeight="1">
      <c r="A691" s="9"/>
      <c r="B691" s="9"/>
      <c r="C691" s="9"/>
      <c r="D691" s="2"/>
      <c r="E691" s="3">
        <f>9326.75+IF(AND(F690&lt;&gt;"",G690&lt;&gt;""),H690,0)</f>
      </c>
      <c r="F691" s="9"/>
      <c r="G691" s="9"/>
      <c r="H691" s="3">
        <f>E691-IF(F691="",0,F691)-IF(G691="",0,G691)</f>
      </c>
      <c r="I691" s="12"/>
    </row>
    <row r="692" ht="21.0" customHeight="1">
      <c r="A692" s="9"/>
      <c r="B692" s="9"/>
      <c r="C692" s="9"/>
      <c r="D692" s="2"/>
      <c r="E692" s="3">
        <f>9326.75+IF(AND(F691&lt;&gt;"",G691&lt;&gt;""),H691,0)</f>
      </c>
      <c r="F692" s="9"/>
      <c r="G692" s="9"/>
      <c r="H692" s="3">
        <f>E692-IF(F692="",0,F692)-IF(G692="",0,G692)</f>
      </c>
      <c r="I692" s="12"/>
    </row>
    <row r="693" ht="21.0" customHeight="1">
      <c r="A693" s="9"/>
      <c r="B693" s="9"/>
      <c r="C693" s="9"/>
      <c r="D693" s="2"/>
      <c r="E693" s="3">
        <f>9326.75+IF(AND(F692&lt;&gt;"",G692&lt;&gt;""),H692,0)</f>
      </c>
      <c r="F693" s="9"/>
      <c r="G693" s="9"/>
      <c r="H693" s="3">
        <f>E693-IF(F693="",0,F693)-IF(G693="",0,G693)</f>
      </c>
      <c r="I693" s="12"/>
    </row>
    <row r="694" ht="21.0" customHeight="1">
      <c r="A694" s="9"/>
      <c r="B694" s="9"/>
      <c r="C694" s="9"/>
      <c r="D694" s="2"/>
      <c r="E694" s="3">
        <f>9326.75+IF(AND(F693&lt;&gt;"",G693&lt;&gt;""),H693,0)</f>
      </c>
      <c r="F694" s="9"/>
      <c r="G694" s="9"/>
      <c r="H694" s="3">
        <f>E694-IF(F694="",0,F694)-IF(G694="",0,G694)</f>
      </c>
      <c r="I694" s="12"/>
    </row>
    <row r="695" ht="21.0" customHeight="1">
      <c r="A695" s="9"/>
      <c r="B695" s="9"/>
      <c r="C695" s="9"/>
      <c r="D695" s="2"/>
      <c r="E695" s="3">
        <f>9326.75+IF(AND(F694&lt;&gt;"",G694&lt;&gt;""),H694,0)</f>
      </c>
      <c r="F695" s="9"/>
      <c r="G695" s="9"/>
      <c r="H695" s="3">
        <f>E695-IF(F695="",0,F695)-IF(G695="",0,G695)</f>
      </c>
      <c r="I695" s="12"/>
    </row>
    <row r="696" ht="21.0" customHeight="1">
      <c r="A696" s="9"/>
      <c r="B696" s="9"/>
      <c r="C696" s="9"/>
      <c r="D696" s="2"/>
      <c r="E696" s="3">
        <f>9326.75+IF(AND(F695&lt;&gt;"",G695&lt;&gt;""),H695,0)</f>
      </c>
      <c r="F696" s="9"/>
      <c r="G696" s="9"/>
      <c r="H696" s="3">
        <f>E696-IF(F696="",0,F696)-IF(G696="",0,G696)</f>
      </c>
      <c r="I696" s="12"/>
    </row>
    <row r="697" ht="21.0" customHeight="1">
      <c r="A697" s="9"/>
      <c r="B697" s="9"/>
      <c r="C697" s="9"/>
      <c r="D697" s="2"/>
      <c r="E697" s="3">
        <f>9326.75+IF(AND(F696&lt;&gt;"",G696&lt;&gt;""),H696,0)</f>
      </c>
      <c r="F697" s="9"/>
      <c r="G697" s="9"/>
      <c r="H697" s="3">
        <f>E697-IF(F697="",0,F697)-IF(G697="",0,G697)</f>
      </c>
      <c r="I697" s="12"/>
    </row>
    <row r="698" ht="21.0" customHeight="1">
      <c r="A698" s="9"/>
      <c r="B698" s="9"/>
      <c r="C698" s="9"/>
      <c r="D698" s="2"/>
      <c r="E698" s="3">
        <f>9326.75+IF(AND(F697&lt;&gt;"",G697&lt;&gt;""),H697,0)</f>
      </c>
      <c r="F698" s="9"/>
      <c r="G698" s="9"/>
      <c r="H698" s="3">
        <f>E698-IF(F698="",0,F698)-IF(G698="",0,G698)</f>
      </c>
      <c r="I698" s="12"/>
    </row>
    <row r="699" ht="21.0" customHeight="1">
      <c r="A699" s="9"/>
      <c r="B699" s="9"/>
      <c r="C699" s="9"/>
      <c r="D699" s="2"/>
      <c r="E699" s="3">
        <f>9326.75+IF(AND(F698&lt;&gt;"",G698&lt;&gt;""),H698,0)</f>
      </c>
      <c r="F699" s="9"/>
      <c r="G699" s="9"/>
      <c r="H699" s="3">
        <f>E699-IF(F699="",0,F699)-IF(G699="",0,G699)</f>
      </c>
      <c r="I699" s="12"/>
    </row>
    <row r="700" ht="21.0" customHeight="1">
      <c r="A700" s="9"/>
      <c r="B700" s="9"/>
      <c r="C700" s="9"/>
      <c r="D700" s="2"/>
      <c r="E700" s="3">
        <f>9326.75+IF(AND(F699&lt;&gt;"",G699&lt;&gt;""),H699,0)</f>
      </c>
      <c r="F700" s="9"/>
      <c r="G700" s="9"/>
      <c r="H700" s="3">
        <f>E700-IF(F700="",0,F700)-IF(G700="",0,G700)</f>
      </c>
      <c r="I700" s="12"/>
    </row>
    <row r="701" ht="21.0" customHeight="1">
      <c r="A701" s="9"/>
      <c r="B701" s="9"/>
      <c r="C701" s="9"/>
      <c r="D701" s="2"/>
      <c r="E701" s="3">
        <f>9326.75+IF(AND(F700&lt;&gt;"",G700&lt;&gt;""),H700,0)</f>
      </c>
      <c r="F701" s="9"/>
      <c r="G701" s="9"/>
      <c r="H701" s="3">
        <f>E701-IF(F701="",0,F701)-IF(G701="",0,G701)</f>
      </c>
      <c r="I701" s="12"/>
    </row>
    <row r="702" ht="21.0" customHeight="1">
      <c r="A702" s="9"/>
      <c r="B702" s="9"/>
      <c r="C702" s="9"/>
      <c r="D702" s="2"/>
      <c r="E702" s="3">
        <f>9326.75+IF(AND(F701&lt;&gt;"",G701&lt;&gt;""),H701,0)</f>
      </c>
      <c r="F702" s="9"/>
      <c r="G702" s="9"/>
      <c r="H702" s="3">
        <f>E702-IF(F702="",0,F702)-IF(G702="",0,G702)</f>
      </c>
      <c r="I702" s="12"/>
    </row>
    <row r="703" ht="21.0" customHeight="1">
      <c r="A703" s="9"/>
      <c r="B703" s="9"/>
      <c r="C703" s="9"/>
      <c r="D703" s="2"/>
      <c r="E703" s="3">
        <f>9326.75+IF(AND(F702&lt;&gt;"",G702&lt;&gt;""),H702,0)</f>
      </c>
      <c r="F703" s="9"/>
      <c r="G703" s="9"/>
      <c r="H703" s="3">
        <f>E703-IF(F703="",0,F703)-IF(G703="",0,G703)</f>
      </c>
      <c r="I703" s="12"/>
    </row>
    <row r="704" ht="21.0" customHeight="1">
      <c r="A704" s="9"/>
      <c r="B704" s="9"/>
      <c r="C704" s="9"/>
      <c r="D704" s="2"/>
      <c r="E704" s="3">
        <f>9326.75+IF(AND(F703&lt;&gt;"",G703&lt;&gt;""),H703,0)</f>
      </c>
      <c r="F704" s="9"/>
      <c r="G704" s="9"/>
      <c r="H704" s="3">
        <f>E704-IF(F704="",0,F704)-IF(G704="",0,G704)</f>
      </c>
      <c r="I704" s="12"/>
    </row>
    <row r="705" ht="21.0" customHeight="1">
      <c r="A705" s="9"/>
      <c r="B705" s="9"/>
      <c r="C705" s="9"/>
      <c r="D705" s="2"/>
      <c r="E705" s="3">
        <f>9326.75+IF(AND(F704&lt;&gt;"",G704&lt;&gt;""),H704,0)</f>
      </c>
      <c r="F705" s="9"/>
      <c r="G705" s="9"/>
      <c r="H705" s="3">
        <f>E705-IF(F705="",0,F705)-IF(G705="",0,G705)</f>
      </c>
      <c r="I705" s="12"/>
    </row>
    <row r="706" ht="21.0" customHeight="1">
      <c r="A706" s="9"/>
      <c r="B706" s="9"/>
      <c r="C706" s="9"/>
      <c r="D706" s="2"/>
      <c r="E706" s="3">
        <f>9326.75+IF(AND(F705&lt;&gt;"",G705&lt;&gt;""),H705,0)</f>
      </c>
      <c r="F706" s="9"/>
      <c r="G706" s="9"/>
      <c r="H706" s="3">
        <f>E706-IF(F706="",0,F706)-IF(G706="",0,G706)</f>
      </c>
      <c r="I706" s="12"/>
    </row>
    <row r="707" ht="21.0" customHeight="1">
      <c r="A707" s="9"/>
      <c r="B707" s="9"/>
      <c r="C707" s="9"/>
      <c r="D707" s="2"/>
      <c r="E707" s="3">
        <f>9326.75+IF(AND(F706&lt;&gt;"",G706&lt;&gt;""),H706,0)</f>
      </c>
      <c r="F707" s="9"/>
      <c r="G707" s="9"/>
      <c r="H707" s="3">
        <f>E707-IF(F707="",0,F707)-IF(G707="",0,G707)</f>
      </c>
      <c r="I707" s="12"/>
    </row>
    <row r="708" ht="21.0" customHeight="1">
      <c r="A708" s="9"/>
      <c r="B708" s="9"/>
      <c r="C708" s="9"/>
      <c r="D708" s="2"/>
      <c r="E708" s="3">
        <f>9326.75+IF(AND(F707&lt;&gt;"",G707&lt;&gt;""),H707,0)</f>
      </c>
      <c r="F708" s="9"/>
      <c r="G708" s="9"/>
      <c r="H708" s="3">
        <f>E708-IF(F708="",0,F708)-IF(G708="",0,G708)</f>
      </c>
      <c r="I708" s="12"/>
    </row>
    <row r="709" ht="21.0" customHeight="1">
      <c r="A709" s="9"/>
      <c r="B709" s="9"/>
      <c r="C709" s="9"/>
      <c r="D709" s="2"/>
      <c r="E709" s="3">
        <f>9326.75+IF(AND(F708&lt;&gt;"",G708&lt;&gt;""),H708,0)</f>
      </c>
      <c r="F709" s="9"/>
      <c r="G709" s="9"/>
      <c r="H709" s="3">
        <f>E709-IF(F709="",0,F709)-IF(G709="",0,G709)</f>
      </c>
      <c r="I709" s="12"/>
    </row>
    <row r="710" ht="21.0" customHeight="1">
      <c r="A710" s="9"/>
      <c r="B710" s="9"/>
      <c r="C710" s="9"/>
      <c r="D710" s="2"/>
      <c r="E710" s="3">
        <f>9326.75+IF(AND(F709&lt;&gt;"",G709&lt;&gt;""),H709,0)</f>
      </c>
      <c r="F710" s="9"/>
      <c r="G710" s="9"/>
      <c r="H710" s="3">
        <f>E710-IF(F710="",0,F710)-IF(G710="",0,G710)</f>
      </c>
      <c r="I710" s="12"/>
    </row>
    <row r="711" ht="21.0" customHeight="1">
      <c r="A711" s="9"/>
      <c r="B711" s="9"/>
      <c r="C711" s="9"/>
      <c r="D711" s="2"/>
      <c r="E711" s="3">
        <f>9326.75+IF(AND(F710&lt;&gt;"",G710&lt;&gt;""),H710,0)</f>
      </c>
      <c r="F711" s="9"/>
      <c r="G711" s="9"/>
      <c r="H711" s="3">
        <f>E711-IF(F711="",0,F711)-IF(G711="",0,G711)</f>
      </c>
      <c r="I711" s="12"/>
    </row>
    <row r="712" ht="21.0" customHeight="1">
      <c r="A712" s="9"/>
      <c r="B712" s="9"/>
      <c r="C712" s="9"/>
      <c r="D712" s="2"/>
      <c r="E712" s="3">
        <f>9326.75+IF(AND(F711&lt;&gt;"",G711&lt;&gt;""),H711,0)</f>
      </c>
      <c r="F712" s="9"/>
      <c r="G712" s="9"/>
      <c r="H712" s="3">
        <f>E712-IF(F712="",0,F712)-IF(G712="",0,G712)</f>
      </c>
      <c r="I712" s="12"/>
    </row>
    <row r="713" ht="21.0" customHeight="1">
      <c r="A713" s="9"/>
      <c r="B713" s="9"/>
      <c r="C713" s="9"/>
      <c r="D713" s="2"/>
      <c r="E713" s="3">
        <f>9326.75+IF(AND(F712&lt;&gt;"",G712&lt;&gt;""),H712,0)</f>
      </c>
      <c r="F713" s="9"/>
      <c r="G713" s="9"/>
      <c r="H713" s="3">
        <f>E713-IF(F713="",0,F713)-IF(G713="",0,G713)</f>
      </c>
      <c r="I713" s="12"/>
    </row>
    <row r="714" ht="21.0" customHeight="1">
      <c r="A714" s="9"/>
      <c r="B714" s="9"/>
      <c r="C714" s="9"/>
      <c r="D714" s="2"/>
      <c r="E714" s="3">
        <f>9326.75+IF(AND(F713&lt;&gt;"",G713&lt;&gt;""),H713,0)</f>
      </c>
      <c r="F714" s="9"/>
      <c r="G714" s="9"/>
      <c r="H714" s="3">
        <f>E714-IF(F714="",0,F714)-IF(G714="",0,G714)</f>
      </c>
      <c r="I714" s="12"/>
    </row>
    <row r="715" ht="21.0" customHeight="1">
      <c r="A715" s="9"/>
      <c r="B715" s="9"/>
      <c r="C715" s="9"/>
      <c r="D715" s="2"/>
      <c r="E715" s="3">
        <f>9326.75+IF(AND(F714&lt;&gt;"",G714&lt;&gt;""),H714,0)</f>
      </c>
      <c r="F715" s="9"/>
      <c r="G715" s="9"/>
      <c r="H715" s="3">
        <f>E715-IF(F715="",0,F715)-IF(G715="",0,G715)</f>
      </c>
      <c r="I715" s="12"/>
    </row>
    <row r="716" ht="21.0" customHeight="1">
      <c r="A716" s="9"/>
      <c r="B716" s="9"/>
      <c r="C716" s="9"/>
      <c r="D716" s="2"/>
      <c r="E716" s="3">
        <f>9326.75+IF(AND(F715&lt;&gt;"",G715&lt;&gt;""),H715,0)</f>
      </c>
      <c r="F716" s="9"/>
      <c r="G716" s="9"/>
      <c r="H716" s="3">
        <f>E716-IF(F716="",0,F716)-IF(G716="",0,G716)</f>
      </c>
      <c r="I716" s="12"/>
    </row>
    <row r="717" ht="21.0" customHeight="1">
      <c r="A717" s="9"/>
      <c r="B717" s="9"/>
      <c r="C717" s="9"/>
      <c r="D717" s="2"/>
      <c r="E717" s="3">
        <f>9326.75+IF(AND(F716&lt;&gt;"",G716&lt;&gt;""),H716,0)</f>
      </c>
      <c r="F717" s="9"/>
      <c r="G717" s="9"/>
      <c r="H717" s="3">
        <f>E717-IF(F717="",0,F717)-IF(G717="",0,G717)</f>
      </c>
      <c r="I717" s="12"/>
    </row>
    <row r="718" ht="21.0" customHeight="1">
      <c r="A718" s="9"/>
      <c r="B718" s="9"/>
      <c r="C718" s="9"/>
      <c r="D718" s="2"/>
      <c r="E718" s="3">
        <f>9326.75+IF(AND(F717&lt;&gt;"",G717&lt;&gt;""),H717,0)</f>
      </c>
      <c r="F718" s="9"/>
      <c r="G718" s="9"/>
      <c r="H718" s="3">
        <f>E718-IF(F718="",0,F718)-IF(G718="",0,G718)</f>
      </c>
      <c r="I718" s="12"/>
    </row>
    <row r="719" ht="21.0" customHeight="1">
      <c r="A719" s="9"/>
      <c r="B719" s="9"/>
      <c r="C719" s="9"/>
      <c r="D719" s="2"/>
      <c r="E719" s="3">
        <f>9326.75+IF(AND(F718&lt;&gt;"",G718&lt;&gt;""),H718,0)</f>
      </c>
      <c r="F719" s="9"/>
      <c r="G719" s="9"/>
      <c r="H719" s="3">
        <f>E719-IF(F719="",0,F719)-IF(G719="",0,G719)</f>
      </c>
      <c r="I719" s="12"/>
    </row>
    <row r="720" ht="21.0" customHeight="1">
      <c r="A720" s="9"/>
      <c r="B720" s="9"/>
      <c r="C720" s="9"/>
      <c r="D720" s="2"/>
      <c r="E720" s="3">
        <f>9326.75+IF(AND(F719&lt;&gt;"",G719&lt;&gt;""),H719,0)</f>
      </c>
      <c r="F720" s="9"/>
      <c r="G720" s="9"/>
      <c r="H720" s="3">
        <f>E720-IF(F720="",0,F720)-IF(G720="",0,G720)</f>
      </c>
      <c r="I720" s="12"/>
    </row>
    <row r="721" ht="21.0" customHeight="1">
      <c r="A721" s="9"/>
      <c r="B721" s="9"/>
      <c r="C721" s="9"/>
      <c r="D721" s="2"/>
      <c r="E721" s="3">
        <f>9326.75+IF(AND(F720&lt;&gt;"",G720&lt;&gt;""),H720,0)</f>
      </c>
      <c r="F721" s="9"/>
      <c r="G721" s="9"/>
      <c r="H721" s="3">
        <f>E721-IF(F721="",0,F721)-IF(G721="",0,G721)</f>
      </c>
      <c r="I721" s="12"/>
    </row>
    <row r="722" ht="21.0" customHeight="1">
      <c r="A722" s="9"/>
      <c r="B722" s="9"/>
      <c r="C722" s="9"/>
      <c r="D722" s="2"/>
      <c r="E722" s="3">
        <f>9326.75+IF(AND(F721&lt;&gt;"",G721&lt;&gt;""),H721,0)</f>
      </c>
      <c r="F722" s="9"/>
      <c r="G722" s="9"/>
      <c r="H722" s="3">
        <f>E722-IF(F722="",0,F722)-IF(G722="",0,G722)</f>
      </c>
      <c r="I722" s="12"/>
    </row>
    <row r="723" ht="21.0" customHeight="1">
      <c r="A723" s="9"/>
      <c r="B723" s="9"/>
      <c r="C723" s="9"/>
      <c r="D723" s="2"/>
      <c r="E723" s="3">
        <f>9326.75+IF(AND(F722&lt;&gt;"",G722&lt;&gt;""),H722,0)</f>
      </c>
      <c r="F723" s="9"/>
      <c r="G723" s="9"/>
      <c r="H723" s="3">
        <f>E723-IF(F723="",0,F723)-IF(G723="",0,G723)</f>
      </c>
      <c r="I723" s="12"/>
    </row>
    <row r="724" ht="21.0" customHeight="1">
      <c r="A724" s="9"/>
      <c r="B724" s="9"/>
      <c r="C724" s="9"/>
      <c r="D724" s="2"/>
      <c r="E724" s="3">
        <f>9326.75+IF(AND(F723&lt;&gt;"",G723&lt;&gt;""),H723,0)</f>
      </c>
      <c r="F724" s="9"/>
      <c r="G724" s="9"/>
      <c r="H724" s="3">
        <f>E724-IF(F724="",0,F724)-IF(G724="",0,G724)</f>
      </c>
      <c r="I724" s="12"/>
    </row>
    <row r="725" ht="21.0" customHeight="1">
      <c r="A725" s="9"/>
      <c r="B725" s="9"/>
      <c r="C725" s="9"/>
      <c r="D725" s="2"/>
      <c r="E725" s="3">
        <f>9326.75+IF(AND(F724&lt;&gt;"",G724&lt;&gt;""),H724,0)</f>
      </c>
      <c r="F725" s="9"/>
      <c r="G725" s="9"/>
      <c r="H725" s="3">
        <f>E725-IF(F725="",0,F725)-IF(G725="",0,G725)</f>
      </c>
      <c r="I725" s="12"/>
    </row>
    <row r="726" ht="21.0" customHeight="1">
      <c r="A726" s="9"/>
      <c r="B726" s="9"/>
      <c r="C726" s="9"/>
      <c r="D726" s="2"/>
      <c r="E726" s="3">
        <f>9326.75+IF(AND(F725&lt;&gt;"",G725&lt;&gt;""),H725,0)</f>
      </c>
      <c r="F726" s="9"/>
      <c r="G726" s="9"/>
      <c r="H726" s="3">
        <f>E726-IF(F726="",0,F726)-IF(G726="",0,G726)</f>
      </c>
      <c r="I726" s="12"/>
    </row>
    <row r="727" ht="21.0" customHeight="1">
      <c r="A727" s="9"/>
      <c r="B727" s="9"/>
      <c r="C727" s="9"/>
      <c r="D727" s="2"/>
      <c r="E727" s="3">
        <f>9326.75+IF(AND(F726&lt;&gt;"",G726&lt;&gt;""),H726,0)</f>
      </c>
      <c r="F727" s="9"/>
      <c r="G727" s="9"/>
      <c r="H727" s="3">
        <f>E727-IF(F727="",0,F727)-IF(G727="",0,G727)</f>
      </c>
      <c r="I727" s="12"/>
    </row>
    <row r="728" ht="21.0" customHeight="1">
      <c r="A728" s="9"/>
      <c r="B728" s="9"/>
      <c r="C728" s="9"/>
      <c r="D728" s="2"/>
      <c r="E728" s="3">
        <f>9326.75+IF(AND(F727&lt;&gt;"",G727&lt;&gt;""),H727,0)</f>
      </c>
      <c r="F728" s="9"/>
      <c r="G728" s="9"/>
      <c r="H728" s="3">
        <f>E728-IF(F728="",0,F728)-IF(G728="",0,G728)</f>
      </c>
      <c r="I728" s="12"/>
    </row>
    <row r="729" ht="21.0" customHeight="1">
      <c r="A729" s="9"/>
      <c r="B729" s="9"/>
      <c r="C729" s="9"/>
      <c r="D729" s="2"/>
      <c r="E729" s="3">
        <f>9326.75+IF(AND(F728&lt;&gt;"",G728&lt;&gt;""),H728,0)</f>
      </c>
      <c r="F729" s="9"/>
      <c r="G729" s="9"/>
      <c r="H729" s="3">
        <f>E729-IF(F729="",0,F729)-IF(G729="",0,G729)</f>
      </c>
      <c r="I729" s="12"/>
    </row>
    <row r="730" ht="21.0" customHeight="1">
      <c r="A730" s="9"/>
      <c r="B730" s="9"/>
      <c r="C730" s="9"/>
      <c r="D730" s="2"/>
      <c r="E730" s="3">
        <f>9326.75+IF(AND(F729&lt;&gt;"",G729&lt;&gt;""),H729,0)</f>
      </c>
      <c r="F730" s="9"/>
      <c r="G730" s="9"/>
      <c r="H730" s="3">
        <f>E730-IF(F730="",0,F730)-IF(G730="",0,G730)</f>
      </c>
      <c r="I730" s="12"/>
    </row>
    <row r="731" ht="21.0" customHeight="1">
      <c r="A731" s="9"/>
      <c r="B731" s="9"/>
      <c r="C731" s="9"/>
      <c r="D731" s="2"/>
      <c r="E731" s="3">
        <f>9326.75+IF(AND(F730&lt;&gt;"",G730&lt;&gt;""),H730,0)</f>
      </c>
      <c r="F731" s="9"/>
      <c r="G731" s="9"/>
      <c r="H731" s="3">
        <f>E731-IF(F731="",0,F731)-IF(G731="",0,G731)</f>
      </c>
      <c r="I731" s="12"/>
    </row>
    <row r="732" ht="21.0" customHeight="1">
      <c r="A732" s="9"/>
      <c r="B732" s="9"/>
      <c r="C732" s="9"/>
      <c r="D732" s="2"/>
      <c r="E732" s="3">
        <f>9326.75+IF(AND(F731&lt;&gt;"",G731&lt;&gt;""),H731,0)</f>
      </c>
      <c r="F732" s="9"/>
      <c r="G732" s="9"/>
      <c r="H732" s="3">
        <f>E732-IF(F732="",0,F732)-IF(G732="",0,G732)</f>
      </c>
      <c r="I732" s="12"/>
    </row>
    <row r="733" ht="21.0" customHeight="1">
      <c r="A733" s="9"/>
      <c r="B733" s="9"/>
      <c r="C733" s="9"/>
      <c r="D733" s="2"/>
      <c r="E733" s="3">
        <f>9326.75+IF(AND(F732&lt;&gt;"",G732&lt;&gt;""),H732,0)</f>
      </c>
      <c r="F733" s="9"/>
      <c r="G733" s="9"/>
      <c r="H733" s="3">
        <f>E733-IF(F733="",0,F733)-IF(G733="",0,G733)</f>
      </c>
      <c r="I733" s="12"/>
    </row>
    <row r="734" ht="21.0" customHeight="1">
      <c r="A734" s="9"/>
      <c r="B734" s="9"/>
      <c r="C734" s="9"/>
      <c r="D734" s="2"/>
      <c r="E734" s="3">
        <f>9326.75+IF(AND(F733&lt;&gt;"",G733&lt;&gt;""),H733,0)</f>
      </c>
      <c r="F734" s="9"/>
      <c r="G734" s="9"/>
      <c r="H734" s="3">
        <f>E734-IF(F734="",0,F734)-IF(G734="",0,G734)</f>
      </c>
      <c r="I734" s="12"/>
    </row>
    <row r="735" ht="21.0" customHeight="1">
      <c r="A735" s="9"/>
      <c r="B735" s="9"/>
      <c r="C735" s="9"/>
      <c r="D735" s="2"/>
      <c r="E735" s="3">
        <f>9326.75+IF(AND(F734&lt;&gt;"",G734&lt;&gt;""),H734,0)</f>
      </c>
      <c r="F735" s="9"/>
      <c r="G735" s="9"/>
      <c r="H735" s="3">
        <f>E735-IF(F735="",0,F735)-IF(G735="",0,G735)</f>
      </c>
      <c r="I735" s="12"/>
    </row>
    <row r="736" ht="21.0" customHeight="1">
      <c r="A736" s="9"/>
      <c r="B736" s="9"/>
      <c r="C736" s="9"/>
      <c r="D736" s="2"/>
      <c r="E736" s="3">
        <f>9326.75+IF(AND(F735&lt;&gt;"",G735&lt;&gt;""),H735,0)</f>
      </c>
      <c r="F736" s="9"/>
      <c r="G736" s="9"/>
      <c r="H736" s="3">
        <f>E736-IF(F736="",0,F736)-IF(G736="",0,G736)</f>
      </c>
      <c r="I736" s="12"/>
    </row>
    <row r="737" ht="21.0" customHeight="1">
      <c r="A737" s="9"/>
      <c r="B737" s="9"/>
      <c r="C737" s="9"/>
      <c r="D737" s="2"/>
      <c r="E737" s="3">
        <f>9326.75+IF(AND(F736&lt;&gt;"",G736&lt;&gt;""),H736,0)</f>
      </c>
      <c r="F737" s="9"/>
      <c r="G737" s="9"/>
      <c r="H737" s="3">
        <f>E737-IF(F737="",0,F737)-IF(G737="",0,G737)</f>
      </c>
      <c r="I737" s="12"/>
    </row>
    <row r="738" ht="21.0" customHeight="1">
      <c r="A738" s="9"/>
      <c r="B738" s="9"/>
      <c r="C738" s="9"/>
      <c r="D738" s="2"/>
      <c r="E738" s="3">
        <f>9326.75+IF(AND(F737&lt;&gt;"",G737&lt;&gt;""),H737,0)</f>
      </c>
      <c r="F738" s="9"/>
      <c r="G738" s="9"/>
      <c r="H738" s="3">
        <f>E738-IF(F738="",0,F738)-IF(G738="",0,G738)</f>
      </c>
      <c r="I738" s="12"/>
    </row>
    <row r="739" ht="21.0" customHeight="1">
      <c r="A739" s="9"/>
      <c r="B739" s="9"/>
      <c r="C739" s="9"/>
      <c r="D739" s="2"/>
      <c r="E739" s="3">
        <f>9326.75+IF(AND(F738&lt;&gt;"",G738&lt;&gt;""),H738,0)</f>
      </c>
      <c r="F739" s="9"/>
      <c r="G739" s="9"/>
      <c r="H739" s="3">
        <f>E739-IF(F739="",0,F739)-IF(G739="",0,G739)</f>
      </c>
      <c r="I739" s="12"/>
    </row>
    <row r="740" ht="21.0" customHeight="1">
      <c r="A740" s="9"/>
      <c r="B740" s="9"/>
      <c r="C740" s="9"/>
      <c r="D740" s="2"/>
      <c r="E740" s="3">
        <f>9326.75+IF(AND(F739&lt;&gt;"",G739&lt;&gt;""),H739,0)</f>
      </c>
      <c r="F740" s="9"/>
      <c r="G740" s="9"/>
      <c r="H740" s="3">
        <f>E740-IF(F740="",0,F740)-IF(G740="",0,G740)</f>
      </c>
      <c r="I740" s="12"/>
    </row>
    <row r="741" ht="21.0" customHeight="1">
      <c r="A741" s="9"/>
      <c r="B741" s="9"/>
      <c r="C741" s="9"/>
      <c r="D741" s="2"/>
      <c r="E741" s="3">
        <f>9326.75+IF(AND(F740&lt;&gt;"",G740&lt;&gt;""),H740,0)</f>
      </c>
      <c r="F741" s="9"/>
      <c r="G741" s="9"/>
      <c r="H741" s="3">
        <f>E741-IF(F741="",0,F741)-IF(G741="",0,G741)</f>
      </c>
      <c r="I741" s="12"/>
    </row>
    <row r="742" ht="21.0" customHeight="1">
      <c r="A742" s="9"/>
      <c r="B742" s="9"/>
      <c r="C742" s="9"/>
      <c r="D742" s="2"/>
      <c r="E742" s="3">
        <f>9326.75+IF(AND(F741&lt;&gt;"",G741&lt;&gt;""),H741,0)</f>
      </c>
      <c r="F742" s="9"/>
      <c r="G742" s="9"/>
      <c r="H742" s="3">
        <f>E742-IF(F742="",0,F742)-IF(G742="",0,G742)</f>
      </c>
      <c r="I742" s="12"/>
    </row>
    <row r="743" ht="21.0" customHeight="1">
      <c r="A743" s="9"/>
      <c r="B743" s="9"/>
      <c r="C743" s="9"/>
      <c r="D743" s="2"/>
      <c r="E743" s="3">
        <f>9326.75+IF(AND(F742&lt;&gt;"",G742&lt;&gt;""),H742,0)</f>
      </c>
      <c r="F743" s="9"/>
      <c r="G743" s="9"/>
      <c r="H743" s="3">
        <f>E743-IF(F743="",0,F743)-IF(G743="",0,G743)</f>
      </c>
      <c r="I743" s="12"/>
    </row>
    <row r="744" ht="21.0" customHeight="1">
      <c r="A744" s="9"/>
      <c r="B744" s="9"/>
      <c r="C744" s="9"/>
      <c r="D744" s="2"/>
      <c r="E744" s="3">
        <f>9326.75+IF(AND(F743&lt;&gt;"",G743&lt;&gt;""),H743,0)</f>
      </c>
      <c r="F744" s="9"/>
      <c r="G744" s="9"/>
      <c r="H744" s="3">
        <f>E744-IF(F744="",0,F744)-IF(G744="",0,G744)</f>
      </c>
      <c r="I744" s="12"/>
    </row>
    <row r="745" ht="21.0" customHeight="1">
      <c r="A745" s="9"/>
      <c r="B745" s="9"/>
      <c r="C745" s="9"/>
      <c r="D745" s="2"/>
      <c r="E745" s="3">
        <f>9326.75+IF(AND(F744&lt;&gt;"",G744&lt;&gt;""),H744,0)</f>
      </c>
      <c r="F745" s="9"/>
      <c r="G745" s="9"/>
      <c r="H745" s="3">
        <f>E745-IF(F745="",0,F745)-IF(G745="",0,G745)</f>
      </c>
      <c r="I745" s="12"/>
    </row>
    <row r="746" ht="21.0" customHeight="1">
      <c r="A746" s="9"/>
      <c r="B746" s="9"/>
      <c r="C746" s="9"/>
      <c r="D746" s="2"/>
      <c r="E746" s="3">
        <f>9326.75+IF(AND(F745&lt;&gt;"",G745&lt;&gt;""),H745,0)</f>
      </c>
      <c r="F746" s="9"/>
      <c r="G746" s="9"/>
      <c r="H746" s="3">
        <f>E746-IF(F746="",0,F746)-IF(G746="",0,G746)</f>
      </c>
      <c r="I746" s="12"/>
    </row>
    <row r="747" ht="21.0" customHeight="1">
      <c r="A747" s="9"/>
      <c r="B747" s="9"/>
      <c r="C747" s="9"/>
      <c r="D747" s="2"/>
      <c r="E747" s="3">
        <f>9326.75+IF(AND(F746&lt;&gt;"",G746&lt;&gt;""),H746,0)</f>
      </c>
      <c r="F747" s="9"/>
      <c r="G747" s="9"/>
      <c r="H747" s="3">
        <f>E747-IF(F747="",0,F747)-IF(G747="",0,G747)</f>
      </c>
      <c r="I747" s="12"/>
    </row>
    <row r="748" ht="21.0" customHeight="1">
      <c r="A748" s="9"/>
      <c r="B748" s="9"/>
      <c r="C748" s="9"/>
      <c r="D748" s="2"/>
      <c r="E748" s="3">
        <f>9326.75+IF(AND(F747&lt;&gt;"",G747&lt;&gt;""),H747,0)</f>
      </c>
      <c r="F748" s="9"/>
      <c r="G748" s="9"/>
      <c r="H748" s="3">
        <f>E748-IF(F748="",0,F748)-IF(G748="",0,G748)</f>
      </c>
      <c r="I748" s="12"/>
    </row>
    <row r="749" ht="21.0" customHeight="1">
      <c r="A749" s="9"/>
      <c r="B749" s="9"/>
      <c r="C749" s="9"/>
      <c r="D749" s="2"/>
      <c r="E749" s="3">
        <f>9326.75+IF(AND(F748&lt;&gt;"",G748&lt;&gt;""),H748,0)</f>
      </c>
      <c r="F749" s="9"/>
      <c r="G749" s="9"/>
      <c r="H749" s="3">
        <f>E749-IF(F749="",0,F749)-IF(G749="",0,G749)</f>
      </c>
      <c r="I749" s="12"/>
    </row>
    <row r="750" ht="21.0" customHeight="1">
      <c r="A750" s="9"/>
      <c r="B750" s="9"/>
      <c r="C750" s="9"/>
      <c r="D750" s="2"/>
      <c r="E750" s="3">
        <f>9326.75+IF(AND(F749&lt;&gt;"",G749&lt;&gt;""),H749,0)</f>
      </c>
      <c r="F750" s="9"/>
      <c r="G750" s="9"/>
      <c r="H750" s="3">
        <f>E750-IF(F750="",0,F750)-IF(G750="",0,G750)</f>
      </c>
      <c r="I750" s="12"/>
    </row>
    <row r="751" ht="21.0" customHeight="1">
      <c r="A751" s="9"/>
      <c r="B751" s="9"/>
      <c r="C751" s="9"/>
      <c r="D751" s="2"/>
      <c r="E751" s="3">
        <f>9326.75+IF(AND(F750&lt;&gt;"",G750&lt;&gt;""),H750,0)</f>
      </c>
      <c r="F751" s="9"/>
      <c r="G751" s="9"/>
      <c r="H751" s="3">
        <f>E751-IF(F751="",0,F751)-IF(G751="",0,G751)</f>
      </c>
      <c r="I751" s="12"/>
    </row>
    <row r="752" ht="21.0" customHeight="1">
      <c r="A752" s="9"/>
      <c r="B752" s="9"/>
      <c r="C752" s="9"/>
      <c r="D752" s="2"/>
      <c r="E752" s="3">
        <f>9326.75+IF(AND(F751&lt;&gt;"",G751&lt;&gt;""),H751,0)</f>
      </c>
      <c r="F752" s="9"/>
      <c r="G752" s="9"/>
      <c r="H752" s="3">
        <f>E752-IF(F752="",0,F752)-IF(G752="",0,G752)</f>
      </c>
      <c r="I752" s="12"/>
    </row>
    <row r="753" ht="21.0" customHeight="1">
      <c r="A753" s="9"/>
      <c r="B753" s="9"/>
      <c r="C753" s="9"/>
      <c r="D753" s="2"/>
      <c r="E753" s="3">
        <f>9326.75+IF(AND(F752&lt;&gt;"",G752&lt;&gt;""),H752,0)</f>
      </c>
      <c r="F753" s="9"/>
      <c r="G753" s="9"/>
      <c r="H753" s="3">
        <f>E753-IF(F753="",0,F753)-IF(G753="",0,G753)</f>
      </c>
      <c r="I753" s="12"/>
    </row>
    <row r="754" ht="21.0" customHeight="1">
      <c r="A754" s="9"/>
      <c r="B754" s="9"/>
      <c r="C754" s="9"/>
      <c r="D754" s="2"/>
      <c r="E754" s="3">
        <f>9326.75+IF(AND(F753&lt;&gt;"",G753&lt;&gt;""),H753,0)</f>
      </c>
      <c r="F754" s="9"/>
      <c r="G754" s="9"/>
      <c r="H754" s="3">
        <f>E754-IF(F754="",0,F754)-IF(G754="",0,G754)</f>
      </c>
      <c r="I754" s="12"/>
    </row>
    <row r="755" ht="21.0" customHeight="1">
      <c r="A755" s="9"/>
      <c r="B755" s="9"/>
      <c r="C755" s="9"/>
      <c r="D755" s="2"/>
      <c r="E755" s="3">
        <f>9326.75+IF(AND(F754&lt;&gt;"",G754&lt;&gt;""),H754,0)</f>
      </c>
      <c r="F755" s="9"/>
      <c r="G755" s="9"/>
      <c r="H755" s="3">
        <f>E755-IF(F755="",0,F755)-IF(G755="",0,G755)</f>
      </c>
      <c r="I755" s="12"/>
    </row>
    <row r="756" ht="21.0" customHeight="1">
      <c r="A756" s="9"/>
      <c r="B756" s="9"/>
      <c r="C756" s="9"/>
      <c r="D756" s="2"/>
      <c r="E756" s="3">
        <f>9326.75+IF(AND(F755&lt;&gt;"",G755&lt;&gt;""),H755,0)</f>
      </c>
      <c r="F756" s="9"/>
      <c r="G756" s="9"/>
      <c r="H756" s="3">
        <f>E756-IF(F756="",0,F756)-IF(G756="",0,G756)</f>
      </c>
      <c r="I756" s="12"/>
    </row>
    <row r="757" ht="21.0" customHeight="1">
      <c r="A757" s="9"/>
      <c r="B757" s="9"/>
      <c r="C757" s="9"/>
      <c r="D757" s="2"/>
      <c r="E757" s="3">
        <f>9326.75+IF(AND(F756&lt;&gt;"",G756&lt;&gt;""),H756,0)</f>
      </c>
      <c r="F757" s="9"/>
      <c r="G757" s="9"/>
      <c r="H757" s="3">
        <f>E757-IF(F757="",0,F757)-IF(G757="",0,G757)</f>
      </c>
      <c r="I757" s="12"/>
    </row>
    <row r="758" ht="21.0" customHeight="1">
      <c r="A758" s="9"/>
      <c r="B758" s="9"/>
      <c r="C758" s="9"/>
      <c r="D758" s="2"/>
      <c r="E758" s="3">
        <f>9326.75+IF(AND(F757&lt;&gt;"",G757&lt;&gt;""),H757,0)</f>
      </c>
      <c r="F758" s="9"/>
      <c r="G758" s="9"/>
      <c r="H758" s="3">
        <f>E758-IF(F758="",0,F758)-IF(G758="",0,G758)</f>
      </c>
      <c r="I758" s="12"/>
    </row>
    <row r="759" ht="21.0" customHeight="1">
      <c r="A759" s="9"/>
      <c r="B759" s="9"/>
      <c r="C759" s="9"/>
      <c r="D759" s="2"/>
      <c r="E759" s="3">
        <f>9326.75+IF(AND(F758&lt;&gt;"",G758&lt;&gt;""),H758,0)</f>
      </c>
      <c r="F759" s="9"/>
      <c r="G759" s="9"/>
      <c r="H759" s="3">
        <f>E759-IF(F759="",0,F759)-IF(G759="",0,G759)</f>
      </c>
      <c r="I759" s="12"/>
    </row>
    <row r="760" ht="21.0" customHeight="1">
      <c r="A760" s="9"/>
      <c r="B760" s="9"/>
      <c r="C760" s="9"/>
      <c r="D760" s="2"/>
      <c r="E760" s="3">
        <f>9326.75+IF(AND(F759&lt;&gt;"",G759&lt;&gt;""),H759,0)</f>
      </c>
      <c r="F760" s="9"/>
      <c r="G760" s="9"/>
      <c r="H760" s="3">
        <f>E760-IF(F760="",0,F760)-IF(G760="",0,G760)</f>
      </c>
      <c r="I760" s="12"/>
    </row>
    <row r="761" ht="21.0" customHeight="1">
      <c r="A761" s="9"/>
      <c r="B761" s="9"/>
      <c r="C761" s="9"/>
      <c r="D761" s="2"/>
      <c r="E761" s="3">
        <f>9326.75+IF(AND(F760&lt;&gt;"",G760&lt;&gt;""),H760,0)</f>
      </c>
      <c r="F761" s="9"/>
      <c r="G761" s="9"/>
      <c r="H761" s="3">
        <f>E761-IF(F761="",0,F761)-IF(G761="",0,G761)</f>
      </c>
      <c r="I761" s="12"/>
    </row>
    <row r="762" ht="21.0" customHeight="1">
      <c r="A762" s="9"/>
      <c r="B762" s="9"/>
      <c r="C762" s="9"/>
      <c r="D762" s="2"/>
      <c r="E762" s="3">
        <f>9326.75+IF(AND(F761&lt;&gt;"",G761&lt;&gt;""),H761,0)</f>
      </c>
      <c r="F762" s="9"/>
      <c r="G762" s="9"/>
      <c r="H762" s="3">
        <f>E762-IF(F762="",0,F762)-IF(G762="",0,G762)</f>
      </c>
      <c r="I762" s="12"/>
    </row>
    <row r="763" ht="21.0" customHeight="1">
      <c r="A763" s="9"/>
      <c r="B763" s="9"/>
      <c r="C763" s="9"/>
      <c r="D763" s="2"/>
      <c r="E763" s="3">
        <f>9326.75+IF(AND(F762&lt;&gt;"",G762&lt;&gt;""),H762,0)</f>
      </c>
      <c r="F763" s="9"/>
      <c r="G763" s="9"/>
      <c r="H763" s="3">
        <f>E763-IF(F763="",0,F763)-IF(G763="",0,G763)</f>
      </c>
      <c r="I763" s="12"/>
    </row>
    <row r="764" ht="21.0" customHeight="1">
      <c r="A764" s="9"/>
      <c r="B764" s="9"/>
      <c r="C764" s="9"/>
      <c r="D764" s="2"/>
      <c r="E764" s="3">
        <f>9326.75+IF(AND(F763&lt;&gt;"",G763&lt;&gt;""),H763,0)</f>
      </c>
      <c r="F764" s="9"/>
      <c r="G764" s="9"/>
      <c r="H764" s="3">
        <f>E764-IF(F764="",0,F764)-IF(G764="",0,G764)</f>
      </c>
      <c r="I764" s="12"/>
    </row>
    <row r="765" ht="21.0" customHeight="1">
      <c r="A765" s="9"/>
      <c r="B765" s="9"/>
      <c r="C765" s="9"/>
      <c r="D765" s="2"/>
      <c r="E765" s="3">
        <f>9326.75+IF(AND(F764&lt;&gt;"",G764&lt;&gt;""),H764,0)</f>
      </c>
      <c r="F765" s="9"/>
      <c r="G765" s="9"/>
      <c r="H765" s="3">
        <f>E765-IF(F765="",0,F765)-IF(G765="",0,G765)</f>
      </c>
      <c r="I765" s="12"/>
    </row>
    <row r="766" ht="21.0" customHeight="1">
      <c r="A766" s="9"/>
      <c r="B766" s="9"/>
      <c r="C766" s="9"/>
      <c r="D766" s="2"/>
      <c r="E766" s="3">
        <f>9326.75+IF(AND(F765&lt;&gt;"",G765&lt;&gt;""),H765,0)</f>
      </c>
      <c r="F766" s="9"/>
      <c r="G766" s="9"/>
      <c r="H766" s="3">
        <f>E766-IF(F766="",0,F766)-IF(G766="",0,G766)</f>
      </c>
      <c r="I766" s="12"/>
    </row>
    <row r="767" ht="21.0" customHeight="1">
      <c r="A767" s="9"/>
      <c r="B767" s="9"/>
      <c r="C767" s="9"/>
      <c r="D767" s="2"/>
      <c r="E767" s="3">
        <f>9326.75+IF(AND(F766&lt;&gt;"",G766&lt;&gt;""),H766,0)</f>
      </c>
      <c r="F767" s="9"/>
      <c r="G767" s="9"/>
      <c r="H767" s="3">
        <f>E767-IF(F767="",0,F767)-IF(G767="",0,G767)</f>
      </c>
      <c r="I767" s="12"/>
    </row>
    <row r="768" ht="21.0" customHeight="1">
      <c r="A768" s="9"/>
      <c r="B768" s="9"/>
      <c r="C768" s="9"/>
      <c r="D768" s="2"/>
      <c r="E768" s="3">
        <f>9326.75+IF(AND(F767&lt;&gt;"",G767&lt;&gt;""),H767,0)</f>
      </c>
      <c r="F768" s="9"/>
      <c r="G768" s="9"/>
      <c r="H768" s="3">
        <f>E768-IF(F768="",0,F768)-IF(G768="",0,G768)</f>
      </c>
      <c r="I768" s="12"/>
    </row>
    <row r="769" ht="21.0" customHeight="1">
      <c r="A769" s="9"/>
      <c r="B769" s="9"/>
      <c r="C769" s="9"/>
      <c r="D769" s="2"/>
      <c r="E769" s="3">
        <f>9326.75+IF(AND(F768&lt;&gt;"",G768&lt;&gt;""),H768,0)</f>
      </c>
      <c r="F769" s="9"/>
      <c r="G769" s="9"/>
      <c r="H769" s="3">
        <f>E769-IF(F769="",0,F769)-IF(G769="",0,G769)</f>
      </c>
      <c r="I769" s="12"/>
    </row>
    <row r="770" ht="21.0" customHeight="1">
      <c r="A770" s="9"/>
      <c r="B770" s="9"/>
      <c r="C770" s="9"/>
      <c r="D770" s="2"/>
      <c r="E770" s="3">
        <f>9326.75+IF(AND(F769&lt;&gt;"",G769&lt;&gt;""),H769,0)</f>
      </c>
      <c r="F770" s="9"/>
      <c r="G770" s="9"/>
      <c r="H770" s="3">
        <f>E770-IF(F770="",0,F770)-IF(G770="",0,G770)</f>
      </c>
      <c r="I770" s="12"/>
    </row>
    <row r="771" ht="21.0" customHeight="1">
      <c r="A771" s="9"/>
      <c r="B771" s="9"/>
      <c r="C771" s="9"/>
      <c r="D771" s="2"/>
      <c r="E771" s="3">
        <f>9326.75+IF(AND(F770&lt;&gt;"",G770&lt;&gt;""),H770,0)</f>
      </c>
      <c r="F771" s="9"/>
      <c r="G771" s="9"/>
      <c r="H771" s="3">
        <f>E771-IF(F771="",0,F771)-IF(G771="",0,G771)</f>
      </c>
      <c r="I771" s="12"/>
    </row>
    <row r="772" ht="21.0" customHeight="1">
      <c r="A772" s="9"/>
      <c r="B772" s="9"/>
      <c r="C772" s="9"/>
      <c r="D772" s="2"/>
      <c r="E772" s="3">
        <f>9326.75+IF(AND(F771&lt;&gt;"",G771&lt;&gt;""),H771,0)</f>
      </c>
      <c r="F772" s="9"/>
      <c r="G772" s="9"/>
      <c r="H772" s="3">
        <f>E772-IF(F772="",0,F772)-IF(G772="",0,G772)</f>
      </c>
      <c r="I772" s="12"/>
    </row>
    <row r="773" ht="21.0" customHeight="1">
      <c r="A773" s="9"/>
      <c r="B773" s="9"/>
      <c r="C773" s="9"/>
      <c r="D773" s="2"/>
      <c r="E773" s="3">
        <f>9326.75+IF(AND(F772&lt;&gt;"",G772&lt;&gt;""),H772,0)</f>
      </c>
      <c r="F773" s="9"/>
      <c r="G773" s="9"/>
      <c r="H773" s="3">
        <f>E773-IF(F773="",0,F773)-IF(G773="",0,G773)</f>
      </c>
      <c r="I773" s="12"/>
    </row>
    <row r="774" ht="21.0" customHeight="1">
      <c r="A774" s="9"/>
      <c r="B774" s="9"/>
      <c r="C774" s="9"/>
      <c r="D774" s="2"/>
      <c r="E774" s="3">
        <f>9326.75+IF(AND(F773&lt;&gt;"",G773&lt;&gt;""),H773,0)</f>
      </c>
      <c r="F774" s="9"/>
      <c r="G774" s="9"/>
      <c r="H774" s="3">
        <f>E774-IF(F774="",0,F774)-IF(G774="",0,G774)</f>
      </c>
      <c r="I774" s="12"/>
    </row>
    <row r="775" ht="21.0" customHeight="1">
      <c r="A775" s="9"/>
      <c r="B775" s="9"/>
      <c r="C775" s="9"/>
      <c r="D775" s="2"/>
      <c r="E775" s="3">
        <f>9326.75+IF(AND(F774&lt;&gt;"",G774&lt;&gt;""),H774,0)</f>
      </c>
      <c r="F775" s="9"/>
      <c r="G775" s="9"/>
      <c r="H775" s="3">
        <f>E775-IF(F775="",0,F775)-IF(G775="",0,G775)</f>
      </c>
      <c r="I775" s="12"/>
    </row>
    <row r="776" ht="21.0" customHeight="1">
      <c r="A776" s="9"/>
      <c r="B776" s="9"/>
      <c r="C776" s="9"/>
      <c r="D776" s="2"/>
      <c r="E776" s="3">
        <f>9326.75+IF(AND(F775&lt;&gt;"",G775&lt;&gt;""),H775,0)</f>
      </c>
      <c r="F776" s="9"/>
      <c r="G776" s="9"/>
      <c r="H776" s="3">
        <f>E776-IF(F776="",0,F776)-IF(G776="",0,G776)</f>
      </c>
      <c r="I776" s="12"/>
    </row>
    <row r="777" ht="21.0" customHeight="1">
      <c r="A777" s="9"/>
      <c r="B777" s="9"/>
      <c r="C777" s="9"/>
      <c r="D777" s="2"/>
      <c r="E777" s="3">
        <f>9326.75+IF(AND(F776&lt;&gt;"",G776&lt;&gt;""),H776,0)</f>
      </c>
      <c r="F777" s="9"/>
      <c r="G777" s="9"/>
      <c r="H777" s="3">
        <f>E777-IF(F777="",0,F777)-IF(G777="",0,G777)</f>
      </c>
      <c r="I777" s="12"/>
    </row>
    <row r="778" ht="21.0" customHeight="1">
      <c r="A778" s="9"/>
      <c r="B778" s="9"/>
      <c r="C778" s="9"/>
      <c r="D778" s="2"/>
      <c r="E778" s="3">
        <f>9326.75+IF(AND(F777&lt;&gt;"",G777&lt;&gt;""),H777,0)</f>
      </c>
      <c r="F778" s="9"/>
      <c r="G778" s="9"/>
      <c r="H778" s="3">
        <f>E778-IF(F778="",0,F778)-IF(G778="",0,G778)</f>
      </c>
      <c r="I778" s="12"/>
    </row>
    <row r="779" ht="21.0" customHeight="1">
      <c r="A779" s="9"/>
      <c r="B779" s="9"/>
      <c r="C779" s="9"/>
      <c r="D779" s="2"/>
      <c r="E779" s="3">
        <f>9326.75+IF(AND(F778&lt;&gt;"",G778&lt;&gt;""),H778,0)</f>
      </c>
      <c r="F779" s="9"/>
      <c r="G779" s="9"/>
      <c r="H779" s="3">
        <f>E779-IF(F779="",0,F779)-IF(G779="",0,G779)</f>
      </c>
      <c r="I779" s="12"/>
    </row>
    <row r="780" ht="21.0" customHeight="1">
      <c r="A780" s="9"/>
      <c r="B780" s="9"/>
      <c r="C780" s="9"/>
      <c r="D780" s="2"/>
      <c r="E780" s="3">
        <f>9326.75+IF(AND(F779&lt;&gt;"",G779&lt;&gt;""),H779,0)</f>
      </c>
      <c r="F780" s="9"/>
      <c r="G780" s="9"/>
      <c r="H780" s="3">
        <f>E780-IF(F780="",0,F780)-IF(G780="",0,G780)</f>
      </c>
      <c r="I780" s="12"/>
    </row>
    <row r="781" ht="21.0" customHeight="1">
      <c r="A781" s="9"/>
      <c r="B781" s="9"/>
      <c r="C781" s="9"/>
      <c r="D781" s="2"/>
      <c r="E781" s="3">
        <f>9326.75+IF(AND(F780&lt;&gt;"",G780&lt;&gt;""),H780,0)</f>
      </c>
      <c r="F781" s="9"/>
      <c r="G781" s="9"/>
      <c r="H781" s="3">
        <f>E781-IF(F781="",0,F781)-IF(G781="",0,G781)</f>
      </c>
      <c r="I781" s="12"/>
    </row>
    <row r="782" ht="21.0" customHeight="1">
      <c r="A782" s="9"/>
      <c r="B782" s="9"/>
      <c r="C782" s="9"/>
      <c r="D782" s="2"/>
      <c r="E782" s="3">
        <f>9326.75+IF(AND(F781&lt;&gt;"",G781&lt;&gt;""),H781,0)</f>
      </c>
      <c r="F782" s="9"/>
      <c r="G782" s="9"/>
      <c r="H782" s="3">
        <f>E782-IF(F782="",0,F782)-IF(G782="",0,G782)</f>
      </c>
      <c r="I782" s="12"/>
    </row>
    <row r="783" ht="21.0" customHeight="1">
      <c r="A783" s="9"/>
      <c r="B783" s="9"/>
      <c r="C783" s="9"/>
      <c r="D783" s="2"/>
      <c r="E783" s="3">
        <f>9326.75+IF(AND(F782&lt;&gt;"",G782&lt;&gt;""),H782,0)</f>
      </c>
      <c r="F783" s="9"/>
      <c r="G783" s="9"/>
      <c r="H783" s="3">
        <f>E783-IF(F783="",0,F783)-IF(G783="",0,G783)</f>
      </c>
      <c r="I783" s="12"/>
    </row>
    <row r="784" ht="21.0" customHeight="1">
      <c r="A784" s="9"/>
      <c r="B784" s="9"/>
      <c r="C784" s="9"/>
      <c r="D784" s="2"/>
      <c r="E784" s="3">
        <f>9326.75+IF(AND(F783&lt;&gt;"",G783&lt;&gt;""),H783,0)</f>
      </c>
      <c r="F784" s="9"/>
      <c r="G784" s="9"/>
      <c r="H784" s="3">
        <f>E784-IF(F784="",0,F784)-IF(G784="",0,G784)</f>
      </c>
      <c r="I784" s="12"/>
    </row>
    <row r="785" ht="21.0" customHeight="1">
      <c r="A785" s="9"/>
      <c r="B785" s="9"/>
      <c r="C785" s="9"/>
      <c r="D785" s="2"/>
      <c r="E785" s="3">
        <f>9326.75+IF(AND(F784&lt;&gt;"",G784&lt;&gt;""),H784,0)</f>
      </c>
      <c r="F785" s="9"/>
      <c r="G785" s="9"/>
      <c r="H785" s="3">
        <f>E785-IF(F785="",0,F785)-IF(G785="",0,G785)</f>
      </c>
      <c r="I785" s="12"/>
    </row>
    <row r="786" ht="21.0" customHeight="1">
      <c r="A786" s="9"/>
      <c r="B786" s="9"/>
      <c r="C786" s="9"/>
      <c r="D786" s="2"/>
      <c r="E786" s="3">
        <f>9326.75+IF(AND(F785&lt;&gt;"",G785&lt;&gt;""),H785,0)</f>
      </c>
      <c r="F786" s="9"/>
      <c r="G786" s="9"/>
      <c r="H786" s="3">
        <f>E786-IF(F786="",0,F786)-IF(G786="",0,G786)</f>
      </c>
      <c r="I786" s="12"/>
    </row>
    <row r="787" ht="21.0" customHeight="1">
      <c r="A787" s="9"/>
      <c r="B787" s="9"/>
      <c r="C787" s="9"/>
      <c r="D787" s="2"/>
      <c r="E787" s="3">
        <f>9326.75+IF(AND(F786&lt;&gt;"",G786&lt;&gt;""),H786,0)</f>
      </c>
      <c r="F787" s="9"/>
      <c r="G787" s="9"/>
      <c r="H787" s="3">
        <f>E787-IF(F787="",0,F787)-IF(G787="",0,G787)</f>
      </c>
      <c r="I787" s="12"/>
    </row>
    <row r="788" ht="21.0" customHeight="1">
      <c r="A788" s="9"/>
      <c r="B788" s="9"/>
      <c r="C788" s="9"/>
      <c r="D788" s="2"/>
      <c r="E788" s="3">
        <f>9326.75+IF(AND(F787&lt;&gt;"",G787&lt;&gt;""),H787,0)</f>
      </c>
      <c r="F788" s="9"/>
      <c r="G788" s="9"/>
      <c r="H788" s="3">
        <f>E788-IF(F788="",0,F788)-IF(G788="",0,G788)</f>
      </c>
      <c r="I788" s="12"/>
    </row>
    <row r="789" ht="21.0" customHeight="1">
      <c r="A789" s="9"/>
      <c r="B789" s="9"/>
      <c r="C789" s="9"/>
      <c r="D789" s="2"/>
      <c r="E789" s="3">
        <f>9326.75+IF(AND(F788&lt;&gt;"",G788&lt;&gt;""),H788,0)</f>
      </c>
      <c r="F789" s="9"/>
      <c r="G789" s="9"/>
      <c r="H789" s="3">
        <f>E789-IF(F789="",0,F789)-IF(G789="",0,G789)</f>
      </c>
      <c r="I789" s="12"/>
    </row>
    <row r="790" ht="21.0" customHeight="1">
      <c r="A790" s="9"/>
      <c r="B790" s="9"/>
      <c r="C790" s="9"/>
      <c r="D790" s="2"/>
      <c r="E790" s="3">
        <f>9326.75+IF(AND(F789&lt;&gt;"",G789&lt;&gt;""),H789,0)</f>
      </c>
      <c r="F790" s="9"/>
      <c r="G790" s="9"/>
      <c r="H790" s="3">
        <f>E790-IF(F790="",0,F790)-IF(G790="",0,G790)</f>
      </c>
      <c r="I790" s="12"/>
    </row>
    <row r="791" ht="21.0" customHeight="1">
      <c r="A791" s="9"/>
      <c r="B791" s="9"/>
      <c r="C791" s="9"/>
      <c r="D791" s="2"/>
      <c r="E791" s="3">
        <f>9326.75+IF(AND(F790&lt;&gt;"",G790&lt;&gt;""),H790,0)</f>
      </c>
      <c r="F791" s="9"/>
      <c r="G791" s="9"/>
      <c r="H791" s="3">
        <f>E791-IF(F791="",0,F791)-IF(G791="",0,G791)</f>
      </c>
      <c r="I791" s="12"/>
    </row>
    <row r="792" ht="21.0" customHeight="1">
      <c r="A792" s="9"/>
      <c r="B792" s="9"/>
      <c r="C792" s="9"/>
      <c r="D792" s="2"/>
      <c r="E792" s="3">
        <f>9326.75+IF(AND(F791&lt;&gt;"",G791&lt;&gt;""),H791,0)</f>
      </c>
      <c r="F792" s="9"/>
      <c r="G792" s="9"/>
      <c r="H792" s="3">
        <f>E792-IF(F792="",0,F792)-IF(G792="",0,G792)</f>
      </c>
      <c r="I792" s="12"/>
    </row>
    <row r="793" ht="21.0" customHeight="1">
      <c r="A793" s="9"/>
      <c r="B793" s="9"/>
      <c r="C793" s="9"/>
      <c r="D793" s="2"/>
      <c r="E793" s="3">
        <f>9326.75+IF(AND(F792&lt;&gt;"",G792&lt;&gt;""),H792,0)</f>
      </c>
      <c r="F793" s="9"/>
      <c r="G793" s="9"/>
      <c r="H793" s="3">
        <f>E793-IF(F793="",0,F793)-IF(G793="",0,G793)</f>
      </c>
      <c r="I793" s="12"/>
    </row>
    <row r="794" ht="21.0" customHeight="1">
      <c r="A794" s="9"/>
      <c r="B794" s="9"/>
      <c r="C794" s="9"/>
      <c r="D794" s="2"/>
      <c r="E794" s="3">
        <f>9326.75+IF(AND(F793&lt;&gt;"",G793&lt;&gt;""),H793,0)</f>
      </c>
      <c r="F794" s="9"/>
      <c r="G794" s="9"/>
      <c r="H794" s="3">
        <f>E794-IF(F794="",0,F794)-IF(G794="",0,G794)</f>
      </c>
      <c r="I794" s="12"/>
    </row>
    <row r="795" ht="21.0" customHeight="1">
      <c r="A795" s="9"/>
      <c r="B795" s="9"/>
      <c r="C795" s="9"/>
      <c r="D795" s="2"/>
      <c r="E795" s="3">
        <f>9326.75+IF(AND(F794&lt;&gt;"",G794&lt;&gt;""),H794,0)</f>
      </c>
      <c r="F795" s="9"/>
      <c r="G795" s="9"/>
      <c r="H795" s="3">
        <f>E795-IF(F795="",0,F795)-IF(G795="",0,G795)</f>
      </c>
      <c r="I795" s="12"/>
    </row>
    <row r="796" ht="21.0" customHeight="1">
      <c r="A796" s="9"/>
      <c r="B796" s="9"/>
      <c r="C796" s="9"/>
      <c r="D796" s="2"/>
      <c r="E796" s="3">
        <f>9326.75+IF(AND(F795&lt;&gt;"",G795&lt;&gt;""),H795,0)</f>
      </c>
      <c r="F796" s="9"/>
      <c r="G796" s="9"/>
      <c r="H796" s="3">
        <f>E796-IF(F796="",0,F796)-IF(G796="",0,G796)</f>
      </c>
      <c r="I796" s="12"/>
    </row>
    <row r="797" ht="21.0" customHeight="1">
      <c r="A797" s="9"/>
      <c r="B797" s="9"/>
      <c r="C797" s="9"/>
      <c r="D797" s="2"/>
      <c r="E797" s="3">
        <f>9326.75+IF(AND(F796&lt;&gt;"",G796&lt;&gt;""),H796,0)</f>
      </c>
      <c r="F797" s="9"/>
      <c r="G797" s="9"/>
      <c r="H797" s="3">
        <f>E797-IF(F797="",0,F797)-IF(G797="",0,G797)</f>
      </c>
      <c r="I797" s="12"/>
    </row>
    <row r="798" ht="21.0" customHeight="1">
      <c r="A798" s="9"/>
      <c r="B798" s="9"/>
      <c r="C798" s="9"/>
      <c r="D798" s="2"/>
      <c r="E798" s="3">
        <f>9326.75+IF(AND(F797&lt;&gt;"",G797&lt;&gt;""),H797,0)</f>
      </c>
      <c r="F798" s="9"/>
      <c r="G798" s="9"/>
      <c r="H798" s="3">
        <f>E798-IF(F798="",0,F798)-IF(G798="",0,G798)</f>
      </c>
      <c r="I798" s="12"/>
    </row>
    <row r="799" ht="21.0" customHeight="1">
      <c r="A799" s="9"/>
      <c r="B799" s="9"/>
      <c r="C799" s="9"/>
      <c r="D799" s="2"/>
      <c r="E799" s="3">
        <f>9326.75+IF(AND(F798&lt;&gt;"",G798&lt;&gt;""),H798,0)</f>
      </c>
      <c r="F799" s="9"/>
      <c r="G799" s="9"/>
      <c r="H799" s="3">
        <f>E799-IF(F799="",0,F799)-IF(G799="",0,G799)</f>
      </c>
      <c r="I799" s="12"/>
    </row>
    <row r="800" ht="21.0" customHeight="1">
      <c r="A800" s="9"/>
      <c r="B800" s="9"/>
      <c r="C800" s="9"/>
      <c r="D800" s="2"/>
      <c r="E800" s="3">
        <f>9326.75+IF(AND(F799&lt;&gt;"",G799&lt;&gt;""),H799,0)</f>
      </c>
      <c r="F800" s="9"/>
      <c r="G800" s="9"/>
      <c r="H800" s="3">
        <f>E800-IF(F800="",0,F800)-IF(G800="",0,G800)</f>
      </c>
      <c r="I800" s="12"/>
    </row>
    <row r="801" ht="21.0" customHeight="1">
      <c r="A801" s="9"/>
      <c r="B801" s="9"/>
      <c r="C801" s="9"/>
      <c r="D801" s="2"/>
      <c r="E801" s="3">
        <f>9326.75+IF(AND(F800&lt;&gt;"",G800&lt;&gt;""),H800,0)</f>
      </c>
      <c r="F801" s="9"/>
      <c r="G801" s="9"/>
      <c r="H801" s="3">
        <f>E801-IF(F801="",0,F801)-IF(G801="",0,G801)</f>
      </c>
      <c r="I801" s="12"/>
    </row>
    <row r="802" ht="21.0" customHeight="1">
      <c r="A802" s="9"/>
      <c r="B802" s="9"/>
      <c r="C802" s="9"/>
      <c r="D802" s="2"/>
      <c r="E802" s="3">
        <f>9326.75+IF(AND(F801&lt;&gt;"",G801&lt;&gt;""),H801,0)</f>
      </c>
      <c r="F802" s="9"/>
      <c r="G802" s="9"/>
      <c r="H802" s="3">
        <f>E802-IF(F802="",0,F802)-IF(G802="",0,G802)</f>
      </c>
      <c r="I802" s="12"/>
    </row>
    <row r="803" ht="21.0" customHeight="1">
      <c r="A803" s="9"/>
      <c r="B803" s="9"/>
      <c r="C803" s="9"/>
      <c r="D803" s="2"/>
      <c r="E803" s="3">
        <f>9326.75+IF(AND(F802&lt;&gt;"",G802&lt;&gt;""),H802,0)</f>
      </c>
      <c r="F803" s="9"/>
      <c r="G803" s="9"/>
      <c r="H803" s="3">
        <f>E803-IF(F803="",0,F803)-IF(G803="",0,G803)</f>
      </c>
      <c r="I803" s="12"/>
    </row>
    <row r="804" ht="21.0" customHeight="1">
      <c r="A804" s="9"/>
      <c r="B804" s="9"/>
      <c r="C804" s="9"/>
      <c r="D804" s="2"/>
      <c r="E804" s="3">
        <f>9326.75+IF(AND(F803&lt;&gt;"",G803&lt;&gt;""),H803,0)</f>
      </c>
      <c r="F804" s="9"/>
      <c r="G804" s="9"/>
      <c r="H804" s="3">
        <f>E804-IF(F804="",0,F804)-IF(G804="",0,G804)</f>
      </c>
      <c r="I804" s="12"/>
    </row>
    <row r="805" ht="21.0" customHeight="1">
      <c r="A805" s="9"/>
      <c r="B805" s="9"/>
      <c r="C805" s="9"/>
      <c r="D805" s="2"/>
      <c r="E805" s="3">
        <f>9326.75+IF(AND(F804&lt;&gt;"",G804&lt;&gt;""),H804,0)</f>
      </c>
      <c r="F805" s="9"/>
      <c r="G805" s="9"/>
      <c r="H805" s="3">
        <f>E805-IF(F805="",0,F805)-IF(G805="",0,G805)</f>
      </c>
      <c r="I805" s="12"/>
    </row>
    <row r="806" ht="21.0" customHeight="1">
      <c r="A806" s="9"/>
      <c r="B806" s="9"/>
      <c r="C806" s="9"/>
      <c r="D806" s="2"/>
      <c r="E806" s="3">
        <f>9326.75+IF(AND(F805&lt;&gt;"",G805&lt;&gt;""),H805,0)</f>
      </c>
      <c r="F806" s="9"/>
      <c r="G806" s="9"/>
      <c r="H806" s="3">
        <f>E806-IF(F806="",0,F806)-IF(G806="",0,G806)</f>
      </c>
      <c r="I806" s="12"/>
    </row>
    <row r="807" ht="21.0" customHeight="1">
      <c r="A807" s="9"/>
      <c r="B807" s="9"/>
      <c r="C807" s="9"/>
      <c r="D807" s="2"/>
      <c r="E807" s="3">
        <f>9326.75+IF(AND(F806&lt;&gt;"",G806&lt;&gt;""),H806,0)</f>
      </c>
      <c r="F807" s="9"/>
      <c r="G807" s="9"/>
      <c r="H807" s="3">
        <f>E807-IF(F807="",0,F807)-IF(G807="",0,G807)</f>
      </c>
      <c r="I807" s="12"/>
    </row>
    <row r="808" ht="21.0" customHeight="1">
      <c r="A808" s="9"/>
      <c r="B808" s="9"/>
      <c r="C808" s="9"/>
      <c r="D808" s="2"/>
      <c r="E808" s="3">
        <f>9326.75+IF(AND(F807&lt;&gt;"",G807&lt;&gt;""),H807,0)</f>
      </c>
      <c r="F808" s="9"/>
      <c r="G808" s="9"/>
      <c r="H808" s="3">
        <f>E808-IF(F808="",0,F808)-IF(G808="",0,G808)</f>
      </c>
      <c r="I808" s="12"/>
    </row>
    <row r="809" ht="21.0" customHeight="1">
      <c r="A809" s="9"/>
      <c r="B809" s="9"/>
      <c r="C809" s="9"/>
      <c r="D809" s="2"/>
      <c r="E809" s="3">
        <f>9326.75+IF(AND(F808&lt;&gt;"",G808&lt;&gt;""),H808,0)</f>
      </c>
      <c r="F809" s="9"/>
      <c r="G809" s="9"/>
      <c r="H809" s="3">
        <f>E809-IF(F809="",0,F809)-IF(G809="",0,G809)</f>
      </c>
      <c r="I809" s="12"/>
    </row>
    <row r="810" ht="21.0" customHeight="1">
      <c r="A810" s="9"/>
      <c r="B810" s="9"/>
      <c r="C810" s="9"/>
      <c r="D810" s="2"/>
      <c r="E810" s="3">
        <f>9326.75+IF(AND(F809&lt;&gt;"",G809&lt;&gt;""),H809,0)</f>
      </c>
      <c r="F810" s="9"/>
      <c r="G810" s="9"/>
      <c r="H810" s="3">
        <f>E810-IF(F810="",0,F810)-IF(G810="",0,G810)</f>
      </c>
      <c r="I810" s="12"/>
    </row>
    <row r="811" ht="21.0" customHeight="1">
      <c r="A811" s="9"/>
      <c r="B811" s="9"/>
      <c r="C811" s="9"/>
      <c r="D811" s="2"/>
      <c r="E811" s="3">
        <f>9326.75+IF(AND(F810&lt;&gt;"",G810&lt;&gt;""),H810,0)</f>
      </c>
      <c r="F811" s="9"/>
      <c r="G811" s="9"/>
      <c r="H811" s="3">
        <f>E811-IF(F811="",0,F811)-IF(G811="",0,G811)</f>
      </c>
      <c r="I811" s="12"/>
    </row>
    <row r="812" ht="21.0" customHeight="1">
      <c r="A812" s="9"/>
      <c r="B812" s="9"/>
      <c r="C812" s="9"/>
      <c r="D812" s="2"/>
      <c r="E812" s="3">
        <f>9326.75+IF(AND(F811&lt;&gt;"",G811&lt;&gt;""),H811,0)</f>
      </c>
      <c r="F812" s="9"/>
      <c r="G812" s="9"/>
      <c r="H812" s="3">
        <f>E812-IF(F812="",0,F812)-IF(G812="",0,G812)</f>
      </c>
      <c r="I812" s="12"/>
    </row>
    <row r="813" ht="21.0" customHeight="1">
      <c r="A813" s="9"/>
      <c r="B813" s="9"/>
      <c r="C813" s="9"/>
      <c r="D813" s="2"/>
      <c r="E813" s="3">
        <f>9326.75+IF(AND(F812&lt;&gt;"",G812&lt;&gt;""),H812,0)</f>
      </c>
      <c r="F813" s="9"/>
      <c r="G813" s="9"/>
      <c r="H813" s="3">
        <f>E813-IF(F813="",0,F813)-IF(G813="",0,G813)</f>
      </c>
      <c r="I813" s="12"/>
    </row>
    <row r="814" ht="21.0" customHeight="1">
      <c r="A814" s="9"/>
      <c r="B814" s="9"/>
      <c r="C814" s="9"/>
      <c r="D814" s="2"/>
      <c r="E814" s="3">
        <f>9326.75+IF(AND(F813&lt;&gt;"",G813&lt;&gt;""),H813,0)</f>
      </c>
      <c r="F814" s="9"/>
      <c r="G814" s="9"/>
      <c r="H814" s="3">
        <f>E814-IF(F814="",0,F814)-IF(G814="",0,G814)</f>
      </c>
      <c r="I814" s="12"/>
    </row>
    <row r="815" ht="21.0" customHeight="1">
      <c r="A815" s="9"/>
      <c r="B815" s="9"/>
      <c r="C815" s="9"/>
      <c r="D815" s="2"/>
      <c r="E815" s="3">
        <f>9326.75+IF(AND(F814&lt;&gt;"",G814&lt;&gt;""),H814,0)</f>
      </c>
      <c r="F815" s="9"/>
      <c r="G815" s="9"/>
      <c r="H815" s="3">
        <f>E815-IF(F815="",0,F815)-IF(G815="",0,G815)</f>
      </c>
      <c r="I815" s="12"/>
    </row>
    <row r="816" ht="21.0" customHeight="1">
      <c r="A816" s="9"/>
      <c r="B816" s="9"/>
      <c r="C816" s="9"/>
      <c r="D816" s="2"/>
      <c r="E816" s="3">
        <f>9326.75+IF(AND(F815&lt;&gt;"",G815&lt;&gt;""),H815,0)</f>
      </c>
      <c r="F816" s="9"/>
      <c r="G816" s="9"/>
      <c r="H816" s="3">
        <f>E816-IF(F816="",0,F816)-IF(G816="",0,G816)</f>
      </c>
      <c r="I816" s="12"/>
    </row>
    <row r="817" ht="21.0" customHeight="1">
      <c r="A817" s="9"/>
      <c r="B817" s="9"/>
      <c r="C817" s="9"/>
      <c r="D817" s="2"/>
      <c r="E817" s="3">
        <f>9326.75+IF(AND(F816&lt;&gt;"",G816&lt;&gt;""),H816,0)</f>
      </c>
      <c r="F817" s="9"/>
      <c r="G817" s="9"/>
      <c r="H817" s="3">
        <f>E817-IF(F817="",0,F817)-IF(G817="",0,G817)</f>
      </c>
      <c r="I817" s="12"/>
    </row>
    <row r="818" ht="21.0" customHeight="1">
      <c r="A818" s="9"/>
      <c r="B818" s="9"/>
      <c r="C818" s="9"/>
      <c r="D818" s="2"/>
      <c r="E818" s="3">
        <f>9326.75+IF(AND(F817&lt;&gt;"",G817&lt;&gt;""),H817,0)</f>
      </c>
      <c r="F818" s="9"/>
      <c r="G818" s="9"/>
      <c r="H818" s="3">
        <f>E818-IF(F818="",0,F818)-IF(G818="",0,G818)</f>
      </c>
      <c r="I818" s="12"/>
    </row>
    <row r="819" ht="21.0" customHeight="1">
      <c r="A819" s="9"/>
      <c r="B819" s="9"/>
      <c r="C819" s="9"/>
      <c r="D819" s="2"/>
      <c r="E819" s="3">
        <f>9326.75+IF(AND(F818&lt;&gt;"",G818&lt;&gt;""),H818,0)</f>
      </c>
      <c r="F819" s="9"/>
      <c r="G819" s="9"/>
      <c r="H819" s="3">
        <f>E819-IF(F819="",0,F819)-IF(G819="",0,G819)</f>
      </c>
      <c r="I819" s="12"/>
    </row>
    <row r="820" ht="21.0" customHeight="1">
      <c r="A820" s="9"/>
      <c r="B820" s="9"/>
      <c r="C820" s="9"/>
      <c r="D820" s="2"/>
      <c r="E820" s="3">
        <f>9326.75+IF(AND(F819&lt;&gt;"",G819&lt;&gt;""),H819,0)</f>
      </c>
      <c r="F820" s="9"/>
      <c r="G820" s="9"/>
      <c r="H820" s="3">
        <f>E820-IF(F820="",0,F820)-IF(G820="",0,G820)</f>
      </c>
      <c r="I820" s="12"/>
    </row>
    <row r="821" ht="21.0" customHeight="1">
      <c r="A821" s="9"/>
      <c r="B821" s="9"/>
      <c r="C821" s="9"/>
      <c r="D821" s="2"/>
      <c r="E821" s="3">
        <f>9326.75+IF(AND(F820&lt;&gt;"",G820&lt;&gt;""),H820,0)</f>
      </c>
      <c r="F821" s="9"/>
      <c r="G821" s="9"/>
      <c r="H821" s="3">
        <f>E821-IF(F821="",0,F821)-IF(G821="",0,G821)</f>
      </c>
      <c r="I821" s="12"/>
    </row>
    <row r="822" ht="21.0" customHeight="1">
      <c r="A822" s="9"/>
      <c r="B822" s="9"/>
      <c r="C822" s="9"/>
      <c r="D822" s="2"/>
      <c r="E822" s="3">
        <f>9326.75+IF(AND(F821&lt;&gt;"",G821&lt;&gt;""),H821,0)</f>
      </c>
      <c r="F822" s="9"/>
      <c r="G822" s="9"/>
      <c r="H822" s="3">
        <f>E822-IF(F822="",0,F822)-IF(G822="",0,G822)</f>
      </c>
      <c r="I822" s="12"/>
    </row>
    <row r="823" ht="21.0" customHeight="1">
      <c r="A823" s="9"/>
      <c r="B823" s="9"/>
      <c r="C823" s="9"/>
      <c r="D823" s="2"/>
      <c r="E823" s="3">
        <f>9326.75+IF(AND(F822&lt;&gt;"",G822&lt;&gt;""),H822,0)</f>
      </c>
      <c r="F823" s="9"/>
      <c r="G823" s="9"/>
      <c r="H823" s="3">
        <f>E823-IF(F823="",0,F823)-IF(G823="",0,G823)</f>
      </c>
      <c r="I823" s="12"/>
    </row>
    <row r="824" ht="21.0" customHeight="1">
      <c r="A824" s="9"/>
      <c r="B824" s="9"/>
      <c r="C824" s="9"/>
      <c r="D824" s="2"/>
      <c r="E824" s="3">
        <f>9326.75+IF(AND(F823&lt;&gt;"",G823&lt;&gt;""),H823,0)</f>
      </c>
      <c r="F824" s="9"/>
      <c r="G824" s="9"/>
      <c r="H824" s="3">
        <f>E824-IF(F824="",0,F824)-IF(G824="",0,G824)</f>
      </c>
      <c r="I824" s="12"/>
    </row>
    <row r="825" ht="21.0" customHeight="1">
      <c r="A825" s="9"/>
      <c r="B825" s="9"/>
      <c r="C825" s="9"/>
      <c r="D825" s="2"/>
      <c r="E825" s="3">
        <f>9326.75+IF(AND(F824&lt;&gt;"",G824&lt;&gt;""),H824,0)</f>
      </c>
      <c r="F825" s="9"/>
      <c r="G825" s="9"/>
      <c r="H825" s="3">
        <f>E825-IF(F825="",0,F825)-IF(G825="",0,G825)</f>
      </c>
      <c r="I825" s="12"/>
    </row>
    <row r="826" ht="21.0" customHeight="1">
      <c r="A826" s="9"/>
      <c r="B826" s="9"/>
      <c r="C826" s="9"/>
      <c r="D826" s="2"/>
      <c r="E826" s="3">
        <f>9326.75+IF(AND(F825&lt;&gt;"",G825&lt;&gt;""),H825,0)</f>
      </c>
      <c r="F826" s="9"/>
      <c r="G826" s="9"/>
      <c r="H826" s="3">
        <f>E826-IF(F826="",0,F826)-IF(G826="",0,G826)</f>
      </c>
      <c r="I826" s="12"/>
    </row>
    <row r="827" ht="21.0" customHeight="1">
      <c r="A827" s="9"/>
      <c r="B827" s="9"/>
      <c r="C827" s="9"/>
      <c r="D827" s="2"/>
      <c r="E827" s="3">
        <f>9326.75+IF(AND(F826&lt;&gt;"",G826&lt;&gt;""),H826,0)</f>
      </c>
      <c r="F827" s="9"/>
      <c r="G827" s="9"/>
      <c r="H827" s="3">
        <f>E827-IF(F827="",0,F827)-IF(G827="",0,G827)</f>
      </c>
      <c r="I827" s="12"/>
    </row>
    <row r="828" ht="21.0" customHeight="1">
      <c r="A828" s="9"/>
      <c r="B828" s="9"/>
      <c r="C828" s="9"/>
      <c r="D828" s="2"/>
      <c r="E828" s="3">
        <f>9326.75+IF(AND(F827&lt;&gt;"",G827&lt;&gt;""),H827,0)</f>
      </c>
      <c r="F828" s="9"/>
      <c r="G828" s="9"/>
      <c r="H828" s="3">
        <f>E828-IF(F828="",0,F828)-IF(G828="",0,G828)</f>
      </c>
      <c r="I828" s="12"/>
    </row>
    <row r="829" ht="21.0" customHeight="1">
      <c r="A829" s="9"/>
      <c r="B829" s="9"/>
      <c r="C829" s="9"/>
      <c r="D829" s="2"/>
      <c r="E829" s="3">
        <f>9326.75+IF(AND(F828&lt;&gt;"",G828&lt;&gt;""),H828,0)</f>
      </c>
      <c r="F829" s="9"/>
      <c r="G829" s="9"/>
      <c r="H829" s="3">
        <f>E829-IF(F829="",0,F829)-IF(G829="",0,G829)</f>
      </c>
      <c r="I829" s="12"/>
    </row>
    <row r="830" ht="21.0" customHeight="1">
      <c r="A830" s="9"/>
      <c r="B830" s="9"/>
      <c r="C830" s="9"/>
      <c r="D830" s="2"/>
      <c r="E830" s="3">
        <f>9326.75+IF(AND(F829&lt;&gt;"",G829&lt;&gt;""),H829,0)</f>
      </c>
      <c r="F830" s="9"/>
      <c r="G830" s="9"/>
      <c r="H830" s="3">
        <f>E830-IF(F830="",0,F830)-IF(G830="",0,G830)</f>
      </c>
      <c r="I830" s="12"/>
    </row>
    <row r="831" ht="21.0" customHeight="1">
      <c r="A831" s="9"/>
      <c r="B831" s="9"/>
      <c r="C831" s="9"/>
      <c r="D831" s="2"/>
      <c r="E831" s="3">
        <f>9326.75+IF(AND(F830&lt;&gt;"",G830&lt;&gt;""),H830,0)</f>
      </c>
      <c r="F831" s="9"/>
      <c r="G831" s="9"/>
      <c r="H831" s="3">
        <f>E831-IF(F831="",0,F831)-IF(G831="",0,G831)</f>
      </c>
      <c r="I831" s="12"/>
    </row>
    <row r="832" ht="21.0" customHeight="1">
      <c r="A832" s="9"/>
      <c r="B832" s="9"/>
      <c r="C832" s="9"/>
      <c r="D832" s="2"/>
      <c r="E832" s="3">
        <f>9326.75+IF(AND(F831&lt;&gt;"",G831&lt;&gt;""),H831,0)</f>
      </c>
      <c r="F832" s="9"/>
      <c r="G832" s="9"/>
      <c r="H832" s="3">
        <f>E832-IF(F832="",0,F832)-IF(G832="",0,G832)</f>
      </c>
      <c r="I832" s="12"/>
    </row>
    <row r="833" ht="21.0" customHeight="1">
      <c r="A833" s="9"/>
      <c r="B833" s="9"/>
      <c r="C833" s="9"/>
      <c r="D833" s="2"/>
      <c r="E833" s="3">
        <f>9326.75+IF(AND(F832&lt;&gt;"",G832&lt;&gt;""),H832,0)</f>
      </c>
      <c r="F833" s="9"/>
      <c r="G833" s="9"/>
      <c r="H833" s="3">
        <f>E833-IF(F833="",0,F833)-IF(G833="",0,G833)</f>
      </c>
      <c r="I833" s="12"/>
    </row>
    <row r="834" ht="21.0" customHeight="1">
      <c r="A834" s="9"/>
      <c r="B834" s="9"/>
      <c r="C834" s="9"/>
      <c r="D834" s="2"/>
      <c r="E834" s="3">
        <f>9326.75+IF(AND(F833&lt;&gt;"",G833&lt;&gt;""),H833,0)</f>
      </c>
      <c r="F834" s="9"/>
      <c r="G834" s="9"/>
      <c r="H834" s="3">
        <f>E834-IF(F834="",0,F834)-IF(G834="",0,G834)</f>
      </c>
      <c r="I834" s="12"/>
    </row>
    <row r="835" ht="21.0" customHeight="1">
      <c r="A835" s="9"/>
      <c r="B835" s="9"/>
      <c r="C835" s="9"/>
      <c r="D835" s="2"/>
      <c r="E835" s="3">
        <f>9326.75+IF(AND(F834&lt;&gt;"",G834&lt;&gt;""),H834,0)</f>
      </c>
      <c r="F835" s="9"/>
      <c r="G835" s="9"/>
      <c r="H835" s="3">
        <f>E835-IF(F835="",0,F835)-IF(G835="",0,G835)</f>
      </c>
      <c r="I835" s="12"/>
    </row>
    <row r="836" ht="21.0" customHeight="1">
      <c r="A836" s="9"/>
      <c r="B836" s="9"/>
      <c r="C836" s="9"/>
      <c r="D836" s="2"/>
      <c r="E836" s="3">
        <f>9326.75+IF(AND(F835&lt;&gt;"",G835&lt;&gt;""),H835,0)</f>
      </c>
      <c r="F836" s="9"/>
      <c r="G836" s="9"/>
      <c r="H836" s="3">
        <f>E836-IF(F836="",0,F836)-IF(G836="",0,G836)</f>
      </c>
      <c r="I836" s="12"/>
    </row>
    <row r="837" ht="21.0" customHeight="1">
      <c r="A837" s="9"/>
      <c r="B837" s="9"/>
      <c r="C837" s="9"/>
      <c r="D837" s="2"/>
      <c r="E837" s="3">
        <f>9326.75+IF(AND(F836&lt;&gt;"",G836&lt;&gt;""),H836,0)</f>
      </c>
      <c r="F837" s="9"/>
      <c r="G837" s="9"/>
      <c r="H837" s="3">
        <f>E837-IF(F837="",0,F837)-IF(G837="",0,G837)</f>
      </c>
      <c r="I837" s="12"/>
    </row>
    <row r="838" ht="21.0" customHeight="1">
      <c r="A838" s="9"/>
      <c r="B838" s="9"/>
      <c r="C838" s="9"/>
      <c r="D838" s="2"/>
      <c r="E838" s="3">
        <f>9326.75+IF(AND(F837&lt;&gt;"",G837&lt;&gt;""),H837,0)</f>
      </c>
      <c r="F838" s="9"/>
      <c r="G838" s="9"/>
      <c r="H838" s="3">
        <f>E838-IF(F838="",0,F838)-IF(G838="",0,G838)</f>
      </c>
      <c r="I838" s="12"/>
    </row>
    <row r="839" ht="21.0" customHeight="1">
      <c r="A839" s="9"/>
      <c r="B839" s="9"/>
      <c r="C839" s="9"/>
      <c r="D839" s="2"/>
      <c r="E839" s="3">
        <f>9326.75+IF(AND(F838&lt;&gt;"",G838&lt;&gt;""),H838,0)</f>
      </c>
      <c r="F839" s="9"/>
      <c r="G839" s="9"/>
      <c r="H839" s="3">
        <f>E839-IF(F839="",0,F839)-IF(G839="",0,G839)</f>
      </c>
      <c r="I839" s="12"/>
    </row>
    <row r="840" ht="21.0" customHeight="1">
      <c r="A840" s="9"/>
      <c r="B840" s="9"/>
      <c r="C840" s="9"/>
      <c r="D840" s="2"/>
      <c r="E840" s="3">
        <f>9326.75+IF(AND(F839&lt;&gt;"",G839&lt;&gt;""),H839,0)</f>
      </c>
      <c r="F840" s="9"/>
      <c r="G840" s="9"/>
      <c r="H840" s="3">
        <f>E840-IF(F840="",0,F840)-IF(G840="",0,G840)</f>
      </c>
      <c r="I840" s="12"/>
    </row>
    <row r="841" ht="21.0" customHeight="1">
      <c r="A841" s="9"/>
      <c r="B841" s="9"/>
      <c r="C841" s="9"/>
      <c r="D841" s="2"/>
      <c r="E841" s="3">
        <f>9326.75+IF(AND(F840&lt;&gt;"",G840&lt;&gt;""),H840,0)</f>
      </c>
      <c r="F841" s="9"/>
      <c r="G841" s="9"/>
      <c r="H841" s="3">
        <f>E841-IF(F841="",0,F841)-IF(G841="",0,G841)</f>
      </c>
      <c r="I841" s="12"/>
    </row>
    <row r="842" ht="21.0" customHeight="1">
      <c r="A842" s="9"/>
      <c r="B842" s="9"/>
      <c r="C842" s="9"/>
      <c r="D842" s="2"/>
      <c r="E842" s="3">
        <f>9326.75+IF(AND(F841&lt;&gt;"",G841&lt;&gt;""),H841,0)</f>
      </c>
      <c r="F842" s="9"/>
      <c r="G842" s="9"/>
      <c r="H842" s="3">
        <f>E842-IF(F842="",0,F842)-IF(G842="",0,G842)</f>
      </c>
      <c r="I842" s="12"/>
    </row>
    <row r="843" ht="21.0" customHeight="1">
      <c r="A843" s="9"/>
      <c r="B843" s="9"/>
      <c r="C843" s="9"/>
      <c r="D843" s="2"/>
      <c r="E843" s="3">
        <f>9326.75+IF(AND(F842&lt;&gt;"",G842&lt;&gt;""),H842,0)</f>
      </c>
      <c r="F843" s="9"/>
      <c r="G843" s="9"/>
      <c r="H843" s="3">
        <f>E843-IF(F843="",0,F843)-IF(G843="",0,G843)</f>
      </c>
      <c r="I843" s="12"/>
    </row>
    <row r="844" ht="21.0" customHeight="1">
      <c r="A844" s="9"/>
      <c r="B844" s="9"/>
      <c r="C844" s="9"/>
      <c r="D844" s="2"/>
      <c r="E844" s="3">
        <f>9326.75+IF(AND(F843&lt;&gt;"",G843&lt;&gt;""),H843,0)</f>
      </c>
      <c r="F844" s="9"/>
      <c r="G844" s="9"/>
      <c r="H844" s="3">
        <f>E844-IF(F844="",0,F844)-IF(G844="",0,G844)</f>
      </c>
      <c r="I844" s="12"/>
    </row>
    <row r="845" ht="21.0" customHeight="1">
      <c r="A845" s="9"/>
      <c r="B845" s="9"/>
      <c r="C845" s="9"/>
      <c r="D845" s="2"/>
      <c r="E845" s="3">
        <f>9326.75+IF(AND(F844&lt;&gt;"",G844&lt;&gt;""),H844,0)</f>
      </c>
      <c r="F845" s="9"/>
      <c r="G845" s="9"/>
      <c r="H845" s="3">
        <f>E845-IF(F845="",0,F845)-IF(G845="",0,G845)</f>
      </c>
      <c r="I845" s="12"/>
    </row>
    <row r="846" ht="21.0" customHeight="1">
      <c r="A846" s="9"/>
      <c r="B846" s="9"/>
      <c r="C846" s="9"/>
      <c r="D846" s="2"/>
      <c r="E846" s="3">
        <f>9326.75+IF(AND(F845&lt;&gt;"",G845&lt;&gt;""),H845,0)</f>
      </c>
      <c r="F846" s="9"/>
      <c r="G846" s="9"/>
      <c r="H846" s="3">
        <f>E846-IF(F846="",0,F846)-IF(G846="",0,G846)</f>
      </c>
      <c r="I846" s="12"/>
    </row>
    <row r="847" ht="21.0" customHeight="1">
      <c r="A847" s="9"/>
      <c r="B847" s="9"/>
      <c r="C847" s="9"/>
      <c r="D847" s="2"/>
      <c r="E847" s="3">
        <f>9326.75+IF(AND(F846&lt;&gt;"",G846&lt;&gt;""),H846,0)</f>
      </c>
      <c r="F847" s="9"/>
      <c r="G847" s="9"/>
      <c r="H847" s="3">
        <f>E847-IF(F847="",0,F847)-IF(G847="",0,G847)</f>
      </c>
      <c r="I847" s="12"/>
    </row>
    <row r="848" ht="21.0" customHeight="1">
      <c r="A848" s="9"/>
      <c r="B848" s="9"/>
      <c r="C848" s="9"/>
      <c r="D848" s="2"/>
      <c r="E848" s="3">
        <f>9326.75+IF(AND(F847&lt;&gt;"",G847&lt;&gt;""),H847,0)</f>
      </c>
      <c r="F848" s="9"/>
      <c r="G848" s="9"/>
      <c r="H848" s="3">
        <f>E848-IF(F848="",0,F848)-IF(G848="",0,G848)</f>
      </c>
      <c r="I848" s="12"/>
    </row>
    <row r="849" ht="21.0" customHeight="1">
      <c r="A849" s="9"/>
      <c r="B849" s="9"/>
      <c r="C849" s="9"/>
      <c r="D849" s="2"/>
      <c r="E849" s="3">
        <f>9326.75+IF(AND(F848&lt;&gt;"",G848&lt;&gt;""),H848,0)</f>
      </c>
      <c r="F849" s="9"/>
      <c r="G849" s="9"/>
      <c r="H849" s="3">
        <f>E849-IF(F849="",0,F849)-IF(G849="",0,G849)</f>
      </c>
      <c r="I849" s="12"/>
    </row>
    <row r="850" ht="21.0" customHeight="1">
      <c r="A850" s="9"/>
      <c r="B850" s="9"/>
      <c r="C850" s="9"/>
      <c r="D850" s="2"/>
      <c r="E850" s="3">
        <f>9326.75+IF(AND(F849&lt;&gt;"",G849&lt;&gt;""),H849,0)</f>
      </c>
      <c r="F850" s="9"/>
      <c r="G850" s="9"/>
      <c r="H850" s="3">
        <f>E850-IF(F850="",0,F850)-IF(G850="",0,G850)</f>
      </c>
      <c r="I850" s="12"/>
    </row>
    <row r="851" ht="21.0" customHeight="1">
      <c r="A851" s="9"/>
      <c r="B851" s="9"/>
      <c r="C851" s="9"/>
      <c r="D851" s="2"/>
      <c r="E851" s="3">
        <f>9326.75+IF(AND(F850&lt;&gt;"",G850&lt;&gt;""),H850,0)</f>
      </c>
      <c r="F851" s="9"/>
      <c r="G851" s="9"/>
      <c r="H851" s="3">
        <f>E851-IF(F851="",0,F851)-IF(G851="",0,G851)</f>
      </c>
      <c r="I851" s="12"/>
    </row>
    <row r="852" ht="21.0" customHeight="1">
      <c r="A852" s="9"/>
      <c r="B852" s="9"/>
      <c r="C852" s="9"/>
      <c r="D852" s="2"/>
      <c r="E852" s="3">
        <f>9326.75+IF(AND(F851&lt;&gt;"",G851&lt;&gt;""),H851,0)</f>
      </c>
      <c r="F852" s="9"/>
      <c r="G852" s="9"/>
      <c r="H852" s="3">
        <f>E852-IF(F852="",0,F852)-IF(G852="",0,G852)</f>
      </c>
      <c r="I852" s="12"/>
    </row>
    <row r="853" ht="21.0" customHeight="1">
      <c r="A853" s="9"/>
      <c r="B853" s="9"/>
      <c r="C853" s="9"/>
      <c r="D853" s="2"/>
      <c r="E853" s="3">
        <f>9326.75+IF(AND(F852&lt;&gt;"",G852&lt;&gt;""),H852,0)</f>
      </c>
      <c r="F853" s="9"/>
      <c r="G853" s="9"/>
      <c r="H853" s="3">
        <f>E853-IF(F853="",0,F853)-IF(G853="",0,G853)</f>
      </c>
      <c r="I853" s="12"/>
    </row>
    <row r="854" ht="21.0" customHeight="1">
      <c r="A854" s="9"/>
      <c r="B854" s="9"/>
      <c r="C854" s="9"/>
      <c r="D854" s="2"/>
      <c r="E854" s="3">
        <f>9326.75+IF(AND(F853&lt;&gt;"",G853&lt;&gt;""),H853,0)</f>
      </c>
      <c r="F854" s="9"/>
      <c r="G854" s="9"/>
      <c r="H854" s="3">
        <f>E854-IF(F854="",0,F854)-IF(G854="",0,G854)</f>
      </c>
      <c r="I854" s="12"/>
    </row>
    <row r="855" ht="21.0" customHeight="1">
      <c r="A855" s="9"/>
      <c r="B855" s="9"/>
      <c r="C855" s="9"/>
      <c r="D855" s="2"/>
      <c r="E855" s="3">
        <f>9326.75+IF(AND(F854&lt;&gt;"",G854&lt;&gt;""),H854,0)</f>
      </c>
      <c r="F855" s="9"/>
      <c r="G855" s="9"/>
      <c r="H855" s="3">
        <f>E855-IF(F855="",0,F855)-IF(G855="",0,G855)</f>
      </c>
      <c r="I855" s="12"/>
    </row>
    <row r="856" ht="21.0" customHeight="1">
      <c r="A856" s="9"/>
      <c r="B856" s="9"/>
      <c r="C856" s="9"/>
      <c r="D856" s="2"/>
      <c r="E856" s="3">
        <f>9326.75+IF(AND(F855&lt;&gt;"",G855&lt;&gt;""),H855,0)</f>
      </c>
      <c r="F856" s="9"/>
      <c r="G856" s="9"/>
      <c r="H856" s="3">
        <f>E856-IF(F856="",0,F856)-IF(G856="",0,G856)</f>
      </c>
      <c r="I856" s="12"/>
    </row>
    <row r="857" ht="21.0" customHeight="1">
      <c r="A857" s="9"/>
      <c r="B857" s="9"/>
      <c r="C857" s="9"/>
      <c r="D857" s="2"/>
      <c r="E857" s="3">
        <f>9326.75+IF(AND(F856&lt;&gt;"",G856&lt;&gt;""),H856,0)</f>
      </c>
      <c r="F857" s="9"/>
      <c r="G857" s="9"/>
      <c r="H857" s="3">
        <f>E857-IF(F857="",0,F857)-IF(G857="",0,G857)</f>
      </c>
      <c r="I857" s="12"/>
    </row>
    <row r="858" ht="21.0" customHeight="1">
      <c r="A858" s="9"/>
      <c r="B858" s="9"/>
      <c r="C858" s="9"/>
      <c r="D858" s="2"/>
      <c r="E858" s="3">
        <f>9326.75+IF(AND(F857&lt;&gt;"",G857&lt;&gt;""),H857,0)</f>
      </c>
      <c r="F858" s="9"/>
      <c r="G858" s="9"/>
      <c r="H858" s="3">
        <f>E858-IF(F858="",0,F858)-IF(G858="",0,G858)</f>
      </c>
      <c r="I858" s="12"/>
    </row>
    <row r="859" ht="21.0" customHeight="1">
      <c r="A859" s="9"/>
      <c r="B859" s="9"/>
      <c r="C859" s="9"/>
      <c r="D859" s="2"/>
      <c r="E859" s="3">
        <f>9326.75+IF(AND(F858&lt;&gt;"",G858&lt;&gt;""),H858,0)</f>
      </c>
      <c r="F859" s="9"/>
      <c r="G859" s="9"/>
      <c r="H859" s="3">
        <f>E859-IF(F859="",0,F859)-IF(G859="",0,G859)</f>
      </c>
      <c r="I859" s="12"/>
    </row>
    <row r="860" ht="21.0" customHeight="1">
      <c r="A860" s="9"/>
      <c r="B860" s="9"/>
      <c r="C860" s="9"/>
      <c r="D860" s="2"/>
      <c r="E860" s="3">
        <f>9326.75+IF(AND(F859&lt;&gt;"",G859&lt;&gt;""),H859,0)</f>
      </c>
      <c r="F860" s="9"/>
      <c r="G860" s="9"/>
      <c r="H860" s="3">
        <f>E860-IF(F860="",0,F860)-IF(G860="",0,G860)</f>
      </c>
      <c r="I860" s="12"/>
    </row>
    <row r="861" ht="21.0" customHeight="1">
      <c r="A861" s="9"/>
      <c r="B861" s="9"/>
      <c r="C861" s="9"/>
      <c r="D861" s="2"/>
      <c r="E861" s="3">
        <f>9326.75+IF(AND(F860&lt;&gt;"",G860&lt;&gt;""),H860,0)</f>
      </c>
      <c r="F861" s="9"/>
      <c r="G861" s="9"/>
      <c r="H861" s="3">
        <f>E861-IF(F861="",0,F861)-IF(G861="",0,G861)</f>
      </c>
      <c r="I861" s="12"/>
    </row>
    <row r="862" ht="21.0" customHeight="1">
      <c r="A862" s="9"/>
      <c r="B862" s="9"/>
      <c r="C862" s="9"/>
      <c r="D862" s="2"/>
      <c r="E862" s="3">
        <f>9326.75+IF(AND(F861&lt;&gt;"",G861&lt;&gt;""),H861,0)</f>
      </c>
      <c r="F862" s="9"/>
      <c r="G862" s="9"/>
      <c r="H862" s="3">
        <f>E862-IF(F862="",0,F862)-IF(G862="",0,G862)</f>
      </c>
      <c r="I862" s="12"/>
    </row>
    <row r="863" ht="21.0" customHeight="1">
      <c r="A863" s="9"/>
      <c r="B863" s="9"/>
      <c r="C863" s="9"/>
      <c r="D863" s="2"/>
      <c r="E863" s="3">
        <f>9326.75+IF(AND(F862&lt;&gt;"",G862&lt;&gt;""),H862,0)</f>
      </c>
      <c r="F863" s="9"/>
      <c r="G863" s="9"/>
      <c r="H863" s="3">
        <f>E863-IF(F863="",0,F863)-IF(G863="",0,G863)</f>
      </c>
      <c r="I863" s="12"/>
    </row>
    <row r="864" ht="21.0" customHeight="1">
      <c r="A864" s="9"/>
      <c r="B864" s="9"/>
      <c r="C864" s="9"/>
      <c r="D864" s="2"/>
      <c r="E864" s="3">
        <f>9326.75+IF(AND(F863&lt;&gt;"",G863&lt;&gt;""),H863,0)</f>
      </c>
      <c r="F864" s="9"/>
      <c r="G864" s="9"/>
      <c r="H864" s="3">
        <f>E864-IF(F864="",0,F864)-IF(G864="",0,G864)</f>
      </c>
      <c r="I864" s="12"/>
    </row>
    <row r="865" ht="21.0" customHeight="1">
      <c r="A865" s="9"/>
      <c r="B865" s="9"/>
      <c r="C865" s="9"/>
      <c r="D865" s="2"/>
      <c r="E865" s="3">
        <f>9326.75+IF(AND(F864&lt;&gt;"",G864&lt;&gt;""),H864,0)</f>
      </c>
      <c r="F865" s="9"/>
      <c r="G865" s="9"/>
      <c r="H865" s="3">
        <f>E865-IF(F865="",0,F865)-IF(G865="",0,G865)</f>
      </c>
      <c r="I865" s="12"/>
    </row>
    <row r="866" ht="21.0" customHeight="1">
      <c r="A866" s="9"/>
      <c r="B866" s="9"/>
      <c r="C866" s="9"/>
      <c r="D866" s="2"/>
      <c r="E866" s="3">
        <f>9326.75+IF(AND(F865&lt;&gt;"",G865&lt;&gt;""),H865,0)</f>
      </c>
      <c r="F866" s="9"/>
      <c r="G866" s="9"/>
      <c r="H866" s="3">
        <f>E866-IF(F866="",0,F866)-IF(G866="",0,G866)</f>
      </c>
      <c r="I866" s="12"/>
    </row>
    <row r="867" ht="21.0" customHeight="1">
      <c r="A867" s="9"/>
      <c r="B867" s="9"/>
      <c r="C867" s="9"/>
      <c r="D867" s="2"/>
      <c r="E867" s="3">
        <f>9326.75+IF(AND(F866&lt;&gt;"",G866&lt;&gt;""),H866,0)</f>
      </c>
      <c r="F867" s="9"/>
      <c r="G867" s="9"/>
      <c r="H867" s="3">
        <f>E867-IF(F867="",0,F867)-IF(G867="",0,G867)</f>
      </c>
      <c r="I867" s="12"/>
    </row>
    <row r="868" ht="21.0" customHeight="1">
      <c r="A868" s="9"/>
      <c r="B868" s="9"/>
      <c r="C868" s="9"/>
      <c r="D868" s="2"/>
      <c r="E868" s="3">
        <f>9326.75+IF(AND(F867&lt;&gt;"",G867&lt;&gt;""),H867,0)</f>
      </c>
      <c r="F868" s="9"/>
      <c r="G868" s="9"/>
      <c r="H868" s="3">
        <f>E868-IF(F868="",0,F868)-IF(G868="",0,G868)</f>
      </c>
      <c r="I868" s="12"/>
    </row>
    <row r="869" ht="21.0" customHeight="1">
      <c r="A869" s="9"/>
      <c r="B869" s="9"/>
      <c r="C869" s="9"/>
      <c r="D869" s="2"/>
      <c r="E869" s="3">
        <f>9326.75+IF(AND(F868&lt;&gt;"",G868&lt;&gt;""),H868,0)</f>
      </c>
      <c r="F869" s="9"/>
      <c r="G869" s="9"/>
      <c r="H869" s="3">
        <f>E869-IF(F869="",0,F869)-IF(G869="",0,G869)</f>
      </c>
      <c r="I869" s="12"/>
    </row>
    <row r="870" ht="21.0" customHeight="1">
      <c r="A870" s="9"/>
      <c r="B870" s="9"/>
      <c r="C870" s="9"/>
      <c r="D870" s="2"/>
      <c r="E870" s="3">
        <f>9326.75+IF(AND(F869&lt;&gt;"",G869&lt;&gt;""),H869,0)</f>
      </c>
      <c r="F870" s="9"/>
      <c r="G870" s="9"/>
      <c r="H870" s="3">
        <f>E870-IF(F870="",0,F870)-IF(G870="",0,G870)</f>
      </c>
      <c r="I870" s="12"/>
    </row>
    <row r="871" ht="21.0" customHeight="1">
      <c r="A871" s="9"/>
      <c r="B871" s="9"/>
      <c r="C871" s="9"/>
      <c r="D871" s="2"/>
      <c r="E871" s="3">
        <f>9326.75+IF(AND(F870&lt;&gt;"",G870&lt;&gt;""),H870,0)</f>
      </c>
      <c r="F871" s="9"/>
      <c r="G871" s="9"/>
      <c r="H871" s="3">
        <f>E871-IF(F871="",0,F871)-IF(G871="",0,G871)</f>
      </c>
      <c r="I871" s="12"/>
    </row>
    <row r="872" ht="21.0" customHeight="1">
      <c r="A872" s="9"/>
      <c r="B872" s="9"/>
      <c r="C872" s="9"/>
      <c r="D872" s="2"/>
      <c r="E872" s="3">
        <f>9326.75+IF(AND(F871&lt;&gt;"",G871&lt;&gt;""),H871,0)</f>
      </c>
      <c r="F872" s="9"/>
      <c r="G872" s="9"/>
      <c r="H872" s="3">
        <f>E872-IF(F872="",0,F872)-IF(G872="",0,G872)</f>
      </c>
      <c r="I872" s="12"/>
    </row>
    <row r="873" ht="21.0" customHeight="1">
      <c r="A873" s="9"/>
      <c r="B873" s="9"/>
      <c r="C873" s="9"/>
      <c r="D873" s="2"/>
      <c r="E873" s="3">
        <f>9326.75+IF(AND(F872&lt;&gt;"",G872&lt;&gt;""),H872,0)</f>
      </c>
      <c r="F873" s="9"/>
      <c r="G873" s="9"/>
      <c r="H873" s="3">
        <f>E873-IF(F873="",0,F873)-IF(G873="",0,G873)</f>
      </c>
      <c r="I873" s="12"/>
    </row>
    <row r="874" ht="21.0" customHeight="1">
      <c r="A874" s="9"/>
      <c r="B874" s="9"/>
      <c r="C874" s="9"/>
      <c r="D874" s="2"/>
      <c r="E874" s="3">
        <f>9326.75+IF(AND(F873&lt;&gt;"",G873&lt;&gt;""),H873,0)</f>
      </c>
      <c r="F874" s="9"/>
      <c r="G874" s="9"/>
      <c r="H874" s="3">
        <f>E874-IF(F874="",0,F874)-IF(G874="",0,G874)</f>
      </c>
      <c r="I874" s="12"/>
    </row>
    <row r="875" ht="21.0" customHeight="1">
      <c r="A875" s="9"/>
      <c r="B875" s="9"/>
      <c r="C875" s="9"/>
      <c r="D875" s="2"/>
      <c r="E875" s="3">
        <f>9326.75+IF(AND(F874&lt;&gt;"",G874&lt;&gt;""),H874,0)</f>
      </c>
      <c r="F875" s="9"/>
      <c r="G875" s="9"/>
      <c r="H875" s="3">
        <f>E875-IF(F875="",0,F875)-IF(G875="",0,G875)</f>
      </c>
      <c r="I875" s="12"/>
    </row>
    <row r="876" ht="21.0" customHeight="1">
      <c r="A876" s="9"/>
      <c r="B876" s="9"/>
      <c r="C876" s="9"/>
      <c r="D876" s="2"/>
      <c r="E876" s="3">
        <f>9326.75+IF(AND(F875&lt;&gt;"",G875&lt;&gt;""),H875,0)</f>
      </c>
      <c r="F876" s="9"/>
      <c r="G876" s="9"/>
      <c r="H876" s="3">
        <f>E876-IF(F876="",0,F876)-IF(G876="",0,G876)</f>
      </c>
      <c r="I876" s="12"/>
    </row>
    <row r="877" ht="21.0" customHeight="1">
      <c r="A877" s="9"/>
      <c r="B877" s="9"/>
      <c r="C877" s="9"/>
      <c r="D877" s="2"/>
      <c r="E877" s="3">
        <f>9326.75+IF(AND(F876&lt;&gt;"",G876&lt;&gt;""),H876,0)</f>
      </c>
      <c r="F877" s="9"/>
      <c r="G877" s="9"/>
      <c r="H877" s="3">
        <f>E877-IF(F877="",0,F877)-IF(G877="",0,G877)</f>
      </c>
      <c r="I877" s="12"/>
    </row>
    <row r="878" ht="21.0" customHeight="1">
      <c r="A878" s="9"/>
      <c r="B878" s="9"/>
      <c r="C878" s="9"/>
      <c r="D878" s="2"/>
      <c r="E878" s="3">
        <f>9326.75+IF(AND(F877&lt;&gt;"",G877&lt;&gt;""),H877,0)</f>
      </c>
      <c r="F878" s="9"/>
      <c r="G878" s="9"/>
      <c r="H878" s="3">
        <f>E878-IF(F878="",0,F878)-IF(G878="",0,G878)</f>
      </c>
      <c r="I878" s="12"/>
    </row>
    <row r="879" ht="21.0" customHeight="1">
      <c r="A879" s="9"/>
      <c r="B879" s="9"/>
      <c r="C879" s="9"/>
      <c r="D879" s="2"/>
      <c r="E879" s="3">
        <f>9326.75+IF(AND(F878&lt;&gt;"",G878&lt;&gt;""),H878,0)</f>
      </c>
      <c r="F879" s="9"/>
      <c r="G879" s="9"/>
      <c r="H879" s="3">
        <f>E879-IF(F879="",0,F879)-IF(G879="",0,G879)</f>
      </c>
      <c r="I879" s="12"/>
    </row>
    <row r="880" ht="21.0" customHeight="1">
      <c r="A880" s="9"/>
      <c r="B880" s="9"/>
      <c r="C880" s="9"/>
      <c r="D880" s="2"/>
      <c r="E880" s="3">
        <f>9326.75+IF(AND(F879&lt;&gt;"",G879&lt;&gt;""),H879,0)</f>
      </c>
      <c r="F880" s="9"/>
      <c r="G880" s="9"/>
      <c r="H880" s="3">
        <f>E880-IF(F880="",0,F880)-IF(G880="",0,G880)</f>
      </c>
      <c r="I880" s="12"/>
    </row>
    <row r="881" ht="21.0" customHeight="1">
      <c r="A881" s="9"/>
      <c r="B881" s="9"/>
      <c r="C881" s="9"/>
      <c r="D881" s="2"/>
      <c r="E881" s="3">
        <f>9326.75+IF(AND(F880&lt;&gt;"",G880&lt;&gt;""),H880,0)</f>
      </c>
      <c r="F881" s="9"/>
      <c r="G881" s="9"/>
      <c r="H881" s="3">
        <f>E881-IF(F881="",0,F881)-IF(G881="",0,G881)</f>
      </c>
      <c r="I881" s="12"/>
    </row>
    <row r="882" ht="21.0" customHeight="1">
      <c r="A882" s="9"/>
      <c r="B882" s="9"/>
      <c r="C882" s="9"/>
      <c r="D882" s="2"/>
      <c r="E882" s="3">
        <f>9326.75+IF(AND(F881&lt;&gt;"",G881&lt;&gt;""),H881,0)</f>
      </c>
      <c r="F882" s="9"/>
      <c r="G882" s="9"/>
      <c r="H882" s="3">
        <f>E882-IF(F882="",0,F882)-IF(G882="",0,G882)</f>
      </c>
      <c r="I882" s="12"/>
    </row>
    <row r="883" ht="21.0" customHeight="1">
      <c r="A883" s="9"/>
      <c r="B883" s="9"/>
      <c r="C883" s="9"/>
      <c r="D883" s="2"/>
      <c r="E883" s="3">
        <f>9326.75+IF(AND(F882&lt;&gt;"",G882&lt;&gt;""),H882,0)</f>
      </c>
      <c r="F883" s="9"/>
      <c r="G883" s="9"/>
      <c r="H883" s="3">
        <f>E883-IF(F883="",0,F883)-IF(G883="",0,G883)</f>
      </c>
      <c r="I883" s="12"/>
    </row>
    <row r="884" ht="21.0" customHeight="1">
      <c r="A884" s="9"/>
      <c r="B884" s="9"/>
      <c r="C884" s="9"/>
      <c r="D884" s="2"/>
      <c r="E884" s="3">
        <f>9326.75+IF(AND(F883&lt;&gt;"",G883&lt;&gt;""),H883,0)</f>
      </c>
      <c r="F884" s="9"/>
      <c r="G884" s="9"/>
      <c r="H884" s="3">
        <f>E884-IF(F884="",0,F884)-IF(G884="",0,G884)</f>
      </c>
      <c r="I884" s="12"/>
    </row>
    <row r="885" ht="21.0" customHeight="1">
      <c r="A885" s="9"/>
      <c r="B885" s="9"/>
      <c r="C885" s="9"/>
      <c r="D885" s="2"/>
      <c r="E885" s="3">
        <f>9326.75+IF(AND(F884&lt;&gt;"",G884&lt;&gt;""),H884,0)</f>
      </c>
      <c r="F885" s="9"/>
      <c r="G885" s="9"/>
      <c r="H885" s="3">
        <f>E885-IF(F885="",0,F885)-IF(G885="",0,G885)</f>
      </c>
      <c r="I885" s="12"/>
    </row>
    <row r="886" ht="21.0" customHeight="1">
      <c r="A886" s="9"/>
      <c r="B886" s="9"/>
      <c r="C886" s="9"/>
      <c r="D886" s="2"/>
      <c r="E886" s="3">
        <f>9326.75+IF(AND(F885&lt;&gt;"",G885&lt;&gt;""),H885,0)</f>
      </c>
      <c r="F886" s="9"/>
      <c r="G886" s="9"/>
      <c r="H886" s="3">
        <f>E886-IF(F886="",0,F886)-IF(G886="",0,G886)</f>
      </c>
      <c r="I886" s="12"/>
    </row>
    <row r="887" ht="21.0" customHeight="1">
      <c r="A887" s="9"/>
      <c r="B887" s="9"/>
      <c r="C887" s="9"/>
      <c r="D887" s="2"/>
      <c r="E887" s="3">
        <f>9326.75+IF(AND(F886&lt;&gt;"",G886&lt;&gt;""),H886,0)</f>
      </c>
      <c r="F887" s="9"/>
      <c r="G887" s="9"/>
      <c r="H887" s="3">
        <f>E887-IF(F887="",0,F887)-IF(G887="",0,G887)</f>
      </c>
      <c r="I887" s="12"/>
    </row>
    <row r="888" ht="21.0" customHeight="1">
      <c r="A888" s="9"/>
      <c r="B888" s="9"/>
      <c r="C888" s="9"/>
      <c r="D888" s="2"/>
      <c r="E888" s="3">
        <f>9326.75+IF(AND(F887&lt;&gt;"",G887&lt;&gt;""),H887,0)</f>
      </c>
      <c r="F888" s="9"/>
      <c r="G888" s="9"/>
      <c r="H888" s="3">
        <f>E888-IF(F888="",0,F888)-IF(G888="",0,G888)</f>
      </c>
      <c r="I888" s="12"/>
    </row>
    <row r="889" ht="21.0" customHeight="1">
      <c r="A889" s="9"/>
      <c r="B889" s="9"/>
      <c r="C889" s="9"/>
      <c r="D889" s="2"/>
      <c r="E889" s="3">
        <f>9326.75+IF(AND(F888&lt;&gt;"",G888&lt;&gt;""),H888,0)</f>
      </c>
      <c r="F889" s="9"/>
      <c r="G889" s="9"/>
      <c r="H889" s="3">
        <f>E889-IF(F889="",0,F889)-IF(G889="",0,G889)</f>
      </c>
      <c r="I889" s="12"/>
    </row>
    <row r="890" ht="21.0" customHeight="1">
      <c r="A890" s="9"/>
      <c r="B890" s="9"/>
      <c r="C890" s="9"/>
      <c r="D890" s="2"/>
      <c r="E890" s="3">
        <f>9326.75+IF(AND(F889&lt;&gt;"",G889&lt;&gt;""),H889,0)</f>
      </c>
      <c r="F890" s="9"/>
      <c r="G890" s="9"/>
      <c r="H890" s="3">
        <f>E890-IF(F890="",0,F890)-IF(G890="",0,G890)</f>
      </c>
      <c r="I890" s="12"/>
    </row>
    <row r="891" ht="21.0" customHeight="1">
      <c r="A891" s="9"/>
      <c r="B891" s="9"/>
      <c r="C891" s="9"/>
      <c r="D891" s="2"/>
      <c r="E891" s="3">
        <f>9326.75+IF(AND(F890&lt;&gt;"",G890&lt;&gt;""),H890,0)</f>
      </c>
      <c r="F891" s="9"/>
      <c r="G891" s="9"/>
      <c r="H891" s="3">
        <f>E891-IF(F891="",0,F891)-IF(G891="",0,G891)</f>
      </c>
      <c r="I891" s="12"/>
    </row>
    <row r="892" ht="21.0" customHeight="1">
      <c r="A892" s="9"/>
      <c r="B892" s="9"/>
      <c r="C892" s="9"/>
      <c r="D892" s="2"/>
      <c r="E892" s="3">
        <f>9326.75+IF(AND(F891&lt;&gt;"",G891&lt;&gt;""),H891,0)</f>
      </c>
      <c r="F892" s="9"/>
      <c r="G892" s="9"/>
      <c r="H892" s="3">
        <f>E892-IF(F892="",0,F892)-IF(G892="",0,G892)</f>
      </c>
      <c r="I892" s="12"/>
    </row>
    <row r="893" ht="21.0" customHeight="1">
      <c r="A893" s="9"/>
      <c r="B893" s="9"/>
      <c r="C893" s="9"/>
      <c r="D893" s="2"/>
      <c r="E893" s="3">
        <f>9326.75+IF(AND(F892&lt;&gt;"",G892&lt;&gt;""),H892,0)</f>
      </c>
      <c r="F893" s="9"/>
      <c r="G893" s="9"/>
      <c r="H893" s="3">
        <f>E893-IF(F893="",0,F893)-IF(G893="",0,G893)</f>
      </c>
      <c r="I893" s="12"/>
    </row>
    <row r="894" ht="21.0" customHeight="1">
      <c r="A894" s="9"/>
      <c r="B894" s="9"/>
      <c r="C894" s="9"/>
      <c r="D894" s="2"/>
      <c r="E894" s="3">
        <f>9326.75+IF(AND(F893&lt;&gt;"",G893&lt;&gt;""),H893,0)</f>
      </c>
      <c r="F894" s="9"/>
      <c r="G894" s="9"/>
      <c r="H894" s="3">
        <f>E894-IF(F894="",0,F894)-IF(G894="",0,G894)</f>
      </c>
      <c r="I894" s="12"/>
    </row>
    <row r="895" ht="21.0" customHeight="1">
      <c r="A895" s="9"/>
      <c r="B895" s="9"/>
      <c r="C895" s="9"/>
      <c r="D895" s="2"/>
      <c r="E895" s="3">
        <f>9326.75+IF(AND(F894&lt;&gt;"",G894&lt;&gt;""),H894,0)</f>
      </c>
      <c r="F895" s="9"/>
      <c r="G895" s="9"/>
      <c r="H895" s="3">
        <f>E895-IF(F895="",0,F895)-IF(G895="",0,G895)</f>
      </c>
      <c r="I895" s="12"/>
    </row>
    <row r="896" ht="21.0" customHeight="1">
      <c r="A896" s="9"/>
      <c r="B896" s="9"/>
      <c r="C896" s="9"/>
      <c r="D896" s="2"/>
      <c r="E896" s="3">
        <f>9326.75+IF(AND(F895&lt;&gt;"",G895&lt;&gt;""),H895,0)</f>
      </c>
      <c r="F896" s="9"/>
      <c r="G896" s="9"/>
      <c r="H896" s="3">
        <f>E896-IF(F896="",0,F896)-IF(G896="",0,G896)</f>
      </c>
      <c r="I896" s="12"/>
    </row>
    <row r="897" ht="21.0" customHeight="1">
      <c r="A897" s="9"/>
      <c r="B897" s="9"/>
      <c r="C897" s="9"/>
      <c r="D897" s="2"/>
      <c r="E897" s="3">
        <f>9326.75+IF(AND(F896&lt;&gt;"",G896&lt;&gt;""),H896,0)</f>
      </c>
      <c r="F897" s="9"/>
      <c r="G897" s="9"/>
      <c r="H897" s="3">
        <f>E897-IF(F897="",0,F897)-IF(G897="",0,G897)</f>
      </c>
      <c r="I897" s="12"/>
    </row>
    <row r="898" ht="21.0" customHeight="1">
      <c r="A898" s="9"/>
      <c r="B898" s="9"/>
      <c r="C898" s="9"/>
      <c r="D898" s="2"/>
      <c r="E898" s="3">
        <f>9326.75+IF(AND(F897&lt;&gt;"",G897&lt;&gt;""),H897,0)</f>
      </c>
      <c r="F898" s="9"/>
      <c r="G898" s="9"/>
      <c r="H898" s="3">
        <f>E898-IF(F898="",0,F898)-IF(G898="",0,G898)</f>
      </c>
      <c r="I898" s="12"/>
    </row>
    <row r="899" ht="21.0" customHeight="1">
      <c r="A899" s="9"/>
      <c r="B899" s="9"/>
      <c r="C899" s="9"/>
      <c r="D899" s="2"/>
      <c r="E899" s="3">
        <f>9326.75+IF(AND(F898&lt;&gt;"",G898&lt;&gt;""),H898,0)</f>
      </c>
      <c r="F899" s="9"/>
      <c r="G899" s="9"/>
      <c r="H899" s="3">
        <f>E899-IF(F899="",0,F899)-IF(G899="",0,G899)</f>
      </c>
      <c r="I899" s="12"/>
    </row>
    <row r="900" ht="21.0" customHeight="1">
      <c r="A900" s="9"/>
      <c r="B900" s="9"/>
      <c r="C900" s="9"/>
      <c r="D900" s="2"/>
      <c r="E900" s="3">
        <f>9326.75+IF(AND(F899&lt;&gt;"",G899&lt;&gt;""),H899,0)</f>
      </c>
      <c r="F900" s="9"/>
      <c r="G900" s="9"/>
      <c r="H900" s="3">
        <f>E900-IF(F900="",0,F900)-IF(G900="",0,G900)</f>
      </c>
      <c r="I900" s="12"/>
    </row>
    <row r="901" ht="21.0" customHeight="1">
      <c r="A901" s="9"/>
      <c r="B901" s="9"/>
      <c r="C901" s="9"/>
      <c r="D901" s="2"/>
      <c r="E901" s="3">
        <f>9326.75+IF(AND(F900&lt;&gt;"",G900&lt;&gt;""),H900,0)</f>
      </c>
      <c r="F901" s="9"/>
      <c r="G901" s="9"/>
      <c r="H901" s="3">
        <f>E901-IF(F901="",0,F901)-IF(G901="",0,G901)</f>
      </c>
      <c r="I901" s="12"/>
    </row>
    <row r="902" ht="21.0" customHeight="1">
      <c r="A902" s="9"/>
      <c r="B902" s="9"/>
      <c r="C902" s="9"/>
      <c r="D902" s="2"/>
      <c r="E902" s="3">
        <f>9326.75+IF(AND(F901&lt;&gt;"",G901&lt;&gt;""),H901,0)</f>
      </c>
      <c r="F902" s="9"/>
      <c r="G902" s="9"/>
      <c r="H902" s="3">
        <f>E902-IF(F902="",0,F902)-IF(G902="",0,G902)</f>
      </c>
      <c r="I902" s="12"/>
    </row>
    <row r="903" ht="21.0" customHeight="1">
      <c r="A903" s="9"/>
      <c r="B903" s="9"/>
      <c r="C903" s="9"/>
      <c r="D903" s="2"/>
      <c r="E903" s="3">
        <f>9326.75+IF(AND(F902&lt;&gt;"",G902&lt;&gt;""),H902,0)</f>
      </c>
      <c r="F903" s="9"/>
      <c r="G903" s="9"/>
      <c r="H903" s="3">
        <f>E903-IF(F903="",0,F903)-IF(G903="",0,G903)</f>
      </c>
      <c r="I903" s="12"/>
    </row>
    <row r="904" ht="21.0" customHeight="1">
      <c r="A904" s="9"/>
      <c r="B904" s="9"/>
      <c r="C904" s="9"/>
      <c r="D904" s="2"/>
      <c r="E904" s="3">
        <f>9326.75+IF(AND(F903&lt;&gt;"",G903&lt;&gt;""),H903,0)</f>
      </c>
      <c r="F904" s="9"/>
      <c r="G904" s="9"/>
      <c r="H904" s="3">
        <f>E904-IF(F904="",0,F904)-IF(G904="",0,G904)</f>
      </c>
      <c r="I904" s="12"/>
    </row>
    <row r="905" ht="21.0" customHeight="1">
      <c r="A905" s="9"/>
      <c r="B905" s="9"/>
      <c r="C905" s="9"/>
      <c r="D905" s="2"/>
      <c r="E905" s="3">
        <f>9326.75+IF(AND(F904&lt;&gt;"",G904&lt;&gt;""),H904,0)</f>
      </c>
      <c r="F905" s="9"/>
      <c r="G905" s="9"/>
      <c r="H905" s="3">
        <f>E905-IF(F905="",0,F905)-IF(G905="",0,G905)</f>
      </c>
      <c r="I905" s="12"/>
    </row>
    <row r="906" ht="21.0" customHeight="1">
      <c r="A906" s="9"/>
      <c r="B906" s="9"/>
      <c r="C906" s="9"/>
      <c r="D906" s="2"/>
      <c r="E906" s="3">
        <f>9326.75+IF(AND(F905&lt;&gt;"",G905&lt;&gt;""),H905,0)</f>
      </c>
      <c r="F906" s="9"/>
      <c r="G906" s="9"/>
      <c r="H906" s="3">
        <f>E906-IF(F906="",0,F906)-IF(G906="",0,G906)</f>
      </c>
      <c r="I906" s="12"/>
    </row>
    <row r="907" ht="21.0" customHeight="1">
      <c r="A907" s="9"/>
      <c r="B907" s="9"/>
      <c r="C907" s="9"/>
      <c r="D907" s="2"/>
      <c r="E907" s="3">
        <f>9326.75+IF(AND(F906&lt;&gt;"",G906&lt;&gt;""),H906,0)</f>
      </c>
      <c r="F907" s="9"/>
      <c r="G907" s="9"/>
      <c r="H907" s="3">
        <f>E907-IF(F907="",0,F907)-IF(G907="",0,G907)</f>
      </c>
      <c r="I907" s="12"/>
    </row>
    <row r="908" ht="21.0" customHeight="1">
      <c r="A908" s="9"/>
      <c r="B908" s="9"/>
      <c r="C908" s="9"/>
      <c r="D908" s="2"/>
      <c r="E908" s="3">
        <f>9326.75+IF(AND(F907&lt;&gt;"",G907&lt;&gt;""),H907,0)</f>
      </c>
      <c r="F908" s="9"/>
      <c r="G908" s="9"/>
      <c r="H908" s="3">
        <f>E908-IF(F908="",0,F908)-IF(G908="",0,G908)</f>
      </c>
      <c r="I908" s="12"/>
    </row>
    <row r="909" ht="21.0" customHeight="1">
      <c r="A909" s="9"/>
      <c r="B909" s="9"/>
      <c r="C909" s="9"/>
      <c r="D909" s="2"/>
      <c r="E909" s="3">
        <f>9326.75+IF(AND(F908&lt;&gt;"",G908&lt;&gt;""),H908,0)</f>
      </c>
      <c r="F909" s="9"/>
      <c r="G909" s="9"/>
      <c r="H909" s="3">
        <f>E909-IF(F909="",0,F909)-IF(G909="",0,G909)</f>
      </c>
      <c r="I909" s="12"/>
    </row>
    <row r="910" ht="21.0" customHeight="1">
      <c r="A910" s="9"/>
      <c r="B910" s="9"/>
      <c r="C910" s="9"/>
      <c r="D910" s="2"/>
      <c r="E910" s="3">
        <f>9326.75+IF(AND(F909&lt;&gt;"",G909&lt;&gt;""),H909,0)</f>
      </c>
      <c r="F910" s="9"/>
      <c r="G910" s="9"/>
      <c r="H910" s="3">
        <f>E910-IF(F910="",0,F910)-IF(G910="",0,G910)</f>
      </c>
      <c r="I910" s="12"/>
    </row>
    <row r="911" ht="21.0" customHeight="1">
      <c r="A911" s="9"/>
      <c r="B911" s="9"/>
      <c r="C911" s="9"/>
      <c r="D911" s="2"/>
      <c r="E911" s="3">
        <f>9326.75+IF(AND(F910&lt;&gt;"",G910&lt;&gt;""),H910,0)</f>
      </c>
      <c r="F911" s="9"/>
      <c r="G911" s="9"/>
      <c r="H911" s="3">
        <f>E911-IF(F911="",0,F911)-IF(G911="",0,G911)</f>
      </c>
      <c r="I911" s="12"/>
    </row>
    <row r="912" ht="21.0" customHeight="1">
      <c r="A912" s="9"/>
      <c r="B912" s="9"/>
      <c r="C912" s="9"/>
      <c r="D912" s="2"/>
      <c r="E912" s="3">
        <f>9326.75+IF(AND(F911&lt;&gt;"",G911&lt;&gt;""),H911,0)</f>
      </c>
      <c r="F912" s="9"/>
      <c r="G912" s="9"/>
      <c r="H912" s="3">
        <f>E912-IF(F912="",0,F912)-IF(G912="",0,G912)</f>
      </c>
      <c r="I912" s="12"/>
    </row>
    <row r="913" ht="21.0" customHeight="1">
      <c r="A913" s="9"/>
      <c r="B913" s="9"/>
      <c r="C913" s="9"/>
      <c r="D913" s="2"/>
      <c r="E913" s="3">
        <f>9326.75+IF(AND(F912&lt;&gt;"",G912&lt;&gt;""),H912,0)</f>
      </c>
      <c r="F913" s="9"/>
      <c r="G913" s="9"/>
      <c r="H913" s="3">
        <f>E913-IF(F913="",0,F913)-IF(G913="",0,G913)</f>
      </c>
      <c r="I913" s="12"/>
    </row>
    <row r="914" ht="21.0" customHeight="1">
      <c r="A914" s="9"/>
      <c r="B914" s="9"/>
      <c r="C914" s="9"/>
      <c r="D914" s="2"/>
      <c r="E914" s="3">
        <f>9326.75+IF(AND(F913&lt;&gt;"",G913&lt;&gt;""),H913,0)</f>
      </c>
      <c r="F914" s="9"/>
      <c r="G914" s="9"/>
      <c r="H914" s="3">
        <f>E914-IF(F914="",0,F914)-IF(G914="",0,G914)</f>
      </c>
      <c r="I914" s="12"/>
    </row>
    <row r="915" ht="21.0" customHeight="1">
      <c r="A915" s="9"/>
      <c r="B915" s="9"/>
      <c r="C915" s="9"/>
      <c r="D915" s="2"/>
      <c r="E915" s="3">
        <f>9326.75+IF(AND(F914&lt;&gt;"",G914&lt;&gt;""),H914,0)</f>
      </c>
      <c r="F915" s="9"/>
      <c r="G915" s="9"/>
      <c r="H915" s="3">
        <f>E915-IF(F915="",0,F915)-IF(G915="",0,G915)</f>
      </c>
      <c r="I915" s="12"/>
    </row>
    <row r="916" ht="21.0" customHeight="1">
      <c r="A916" s="9"/>
      <c r="B916" s="9"/>
      <c r="C916" s="9"/>
      <c r="D916" s="2"/>
      <c r="E916" s="3">
        <f>9326.75+IF(AND(F915&lt;&gt;"",G915&lt;&gt;""),H915,0)</f>
      </c>
      <c r="F916" s="9"/>
      <c r="G916" s="9"/>
      <c r="H916" s="3">
        <f>E916-IF(F916="",0,F916)-IF(G916="",0,G916)</f>
      </c>
      <c r="I916" s="12"/>
    </row>
    <row r="917" ht="21.0" customHeight="1">
      <c r="A917" s="9"/>
      <c r="B917" s="9"/>
      <c r="C917" s="9"/>
      <c r="D917" s="2"/>
      <c r="E917" s="3">
        <f>9326.75+IF(AND(F916&lt;&gt;"",G916&lt;&gt;""),H916,0)</f>
      </c>
      <c r="F917" s="9"/>
      <c r="G917" s="9"/>
      <c r="H917" s="3">
        <f>E917-IF(F917="",0,F917)-IF(G917="",0,G917)</f>
      </c>
      <c r="I917" s="12"/>
    </row>
    <row r="918" ht="21.0" customHeight="1">
      <c r="A918" s="9"/>
      <c r="B918" s="9"/>
      <c r="C918" s="9"/>
      <c r="D918" s="2"/>
      <c r="E918" s="3">
        <f>9326.75+IF(AND(F917&lt;&gt;"",G917&lt;&gt;""),H917,0)</f>
      </c>
      <c r="F918" s="9"/>
      <c r="G918" s="9"/>
      <c r="H918" s="3">
        <f>E918-IF(F918="",0,F918)-IF(G918="",0,G918)</f>
      </c>
      <c r="I918" s="12"/>
    </row>
    <row r="919" ht="21.0" customHeight="1">
      <c r="A919" s="9"/>
      <c r="B919" s="9"/>
      <c r="C919" s="9"/>
      <c r="D919" s="2"/>
      <c r="E919" s="3">
        <f>9326.75+IF(AND(F918&lt;&gt;"",G918&lt;&gt;""),H918,0)</f>
      </c>
      <c r="F919" s="9"/>
      <c r="G919" s="9"/>
      <c r="H919" s="3">
        <f>E919-IF(F919="",0,F919)-IF(G919="",0,G919)</f>
      </c>
      <c r="I919" s="12"/>
    </row>
    <row r="920" ht="21.0" customHeight="1">
      <c r="A920" s="9"/>
      <c r="B920" s="9"/>
      <c r="C920" s="9"/>
      <c r="D920" s="2"/>
      <c r="E920" s="3">
        <f>9326.75+IF(AND(F919&lt;&gt;"",G919&lt;&gt;""),H919,0)</f>
      </c>
      <c r="F920" s="9"/>
      <c r="G920" s="9"/>
      <c r="H920" s="3">
        <f>E920-IF(F920="",0,F920)-IF(G920="",0,G920)</f>
      </c>
      <c r="I920" s="12"/>
    </row>
    <row r="921" ht="21.0" customHeight="1">
      <c r="A921" s="9"/>
      <c r="B921" s="9"/>
      <c r="C921" s="9"/>
      <c r="D921" s="2"/>
      <c r="E921" s="3">
        <f>9326.75+IF(AND(F920&lt;&gt;"",G920&lt;&gt;""),H920,0)</f>
      </c>
      <c r="F921" s="9"/>
      <c r="G921" s="9"/>
      <c r="H921" s="3">
        <f>E921-IF(F921="",0,F921)-IF(G921="",0,G921)</f>
      </c>
      <c r="I921" s="12"/>
    </row>
    <row r="922" ht="21.0" customHeight="1">
      <c r="A922" s="9"/>
      <c r="B922" s="9"/>
      <c r="C922" s="9"/>
      <c r="D922" s="2"/>
      <c r="E922" s="3">
        <f>9326.75+IF(AND(F921&lt;&gt;"",G921&lt;&gt;""),H921,0)</f>
      </c>
      <c r="F922" s="9"/>
      <c r="G922" s="9"/>
      <c r="H922" s="3">
        <f>E922-IF(F922="",0,F922)-IF(G922="",0,G922)</f>
      </c>
      <c r="I922" s="12"/>
    </row>
    <row r="923" ht="21.0" customHeight="1">
      <c r="A923" s="9"/>
      <c r="B923" s="9"/>
      <c r="C923" s="9"/>
      <c r="D923" s="2"/>
      <c r="E923" s="3">
        <f>9326.75+IF(AND(F922&lt;&gt;"",G922&lt;&gt;""),H922,0)</f>
      </c>
      <c r="F923" s="9"/>
      <c r="G923" s="9"/>
      <c r="H923" s="3">
        <f>E923-IF(F923="",0,F923)-IF(G923="",0,G923)</f>
      </c>
      <c r="I923" s="12"/>
    </row>
    <row r="924" ht="21.0" customHeight="1">
      <c r="A924" s="9"/>
      <c r="B924" s="9"/>
      <c r="C924" s="9"/>
      <c r="D924" s="2"/>
      <c r="E924" s="3">
        <f>9326.75+IF(AND(F923&lt;&gt;"",G923&lt;&gt;""),H923,0)</f>
      </c>
      <c r="F924" s="9"/>
      <c r="G924" s="9"/>
      <c r="H924" s="3">
        <f>E924-IF(F924="",0,F924)-IF(G924="",0,G924)</f>
      </c>
      <c r="I924" s="12"/>
    </row>
    <row r="925" ht="21.0" customHeight="1">
      <c r="A925" s="9"/>
      <c r="B925" s="9"/>
      <c r="C925" s="9"/>
      <c r="D925" s="2"/>
      <c r="E925" s="3">
        <f>9326.75+IF(AND(F924&lt;&gt;"",G924&lt;&gt;""),H924,0)</f>
      </c>
      <c r="F925" s="9"/>
      <c r="G925" s="9"/>
      <c r="H925" s="3">
        <f>E925-IF(F925="",0,F925)-IF(G925="",0,G925)</f>
      </c>
      <c r="I925" s="12"/>
    </row>
    <row r="926" ht="21.0" customHeight="1">
      <c r="A926" s="9"/>
      <c r="B926" s="9"/>
      <c r="C926" s="9"/>
      <c r="D926" s="2"/>
      <c r="E926" s="3">
        <f>9326.75+IF(AND(F925&lt;&gt;"",G925&lt;&gt;""),H925,0)</f>
      </c>
      <c r="F926" s="9"/>
      <c r="G926" s="9"/>
      <c r="H926" s="3">
        <f>E926-IF(F926="",0,F926)-IF(G926="",0,G926)</f>
      </c>
      <c r="I926" s="12"/>
    </row>
    <row r="927" ht="21.0" customHeight="1">
      <c r="A927" s="9"/>
      <c r="B927" s="9"/>
      <c r="C927" s="9"/>
      <c r="D927" s="2"/>
      <c r="E927" s="3">
        <f>9326.75+IF(AND(F926&lt;&gt;"",G926&lt;&gt;""),H926,0)</f>
      </c>
      <c r="F927" s="9"/>
      <c r="G927" s="9"/>
      <c r="H927" s="3">
        <f>E927-IF(F927="",0,F927)-IF(G927="",0,G927)</f>
      </c>
      <c r="I927" s="12"/>
    </row>
    <row r="928" ht="21.0" customHeight="1">
      <c r="A928" s="9"/>
      <c r="B928" s="9"/>
      <c r="C928" s="9"/>
      <c r="D928" s="2"/>
      <c r="E928" s="3">
        <f>9326.75+IF(AND(F927&lt;&gt;"",G927&lt;&gt;""),H927,0)</f>
      </c>
      <c r="F928" s="9"/>
      <c r="G928" s="9"/>
      <c r="H928" s="3">
        <f>E928-IF(F928="",0,F928)-IF(G928="",0,G928)</f>
      </c>
      <c r="I928" s="12"/>
    </row>
    <row r="929" ht="21.0" customHeight="1">
      <c r="A929" s="9"/>
      <c r="B929" s="9"/>
      <c r="C929" s="9"/>
      <c r="D929" s="2"/>
      <c r="E929" s="3">
        <f>9326.75+IF(AND(F928&lt;&gt;"",G928&lt;&gt;""),H928,0)</f>
      </c>
      <c r="F929" s="9"/>
      <c r="G929" s="9"/>
      <c r="H929" s="3">
        <f>E929-IF(F929="",0,F929)-IF(G929="",0,G929)</f>
      </c>
      <c r="I929" s="12"/>
    </row>
    <row r="930" ht="21.0" customHeight="1">
      <c r="A930" s="9"/>
      <c r="B930" s="9"/>
      <c r="C930" s="9"/>
      <c r="D930" s="2"/>
      <c r="E930" s="3">
        <f>9326.75+IF(AND(F929&lt;&gt;"",G929&lt;&gt;""),H929,0)</f>
      </c>
      <c r="F930" s="9"/>
      <c r="G930" s="9"/>
      <c r="H930" s="3">
        <f>E930-IF(F930="",0,F930)-IF(G930="",0,G930)</f>
      </c>
      <c r="I930" s="12"/>
    </row>
    <row r="931" ht="21.0" customHeight="1">
      <c r="A931" s="9"/>
      <c r="B931" s="9"/>
      <c r="C931" s="9"/>
      <c r="D931" s="2"/>
      <c r="E931" s="3">
        <f>9326.75+IF(AND(F930&lt;&gt;"",G930&lt;&gt;""),H930,0)</f>
      </c>
      <c r="F931" s="9"/>
      <c r="G931" s="9"/>
      <c r="H931" s="3">
        <f>E931-IF(F931="",0,F931)-IF(G931="",0,G931)</f>
      </c>
      <c r="I931" s="12"/>
    </row>
    <row r="932" ht="21.0" customHeight="1">
      <c r="A932" s="9"/>
      <c r="B932" s="9"/>
      <c r="C932" s="9"/>
      <c r="D932" s="2"/>
      <c r="E932" s="3">
        <f>9326.75+IF(AND(F931&lt;&gt;"",G931&lt;&gt;""),H931,0)</f>
      </c>
      <c r="F932" s="9"/>
      <c r="G932" s="9"/>
      <c r="H932" s="3">
        <f>E932-IF(F932="",0,F932)-IF(G932="",0,G932)</f>
      </c>
      <c r="I932" s="12"/>
    </row>
    <row r="933" ht="21.0" customHeight="1">
      <c r="A933" s="9"/>
      <c r="B933" s="9"/>
      <c r="C933" s="9"/>
      <c r="D933" s="2"/>
      <c r="E933" s="3">
        <f>9326.75+IF(AND(F932&lt;&gt;"",G932&lt;&gt;""),H932,0)</f>
      </c>
      <c r="F933" s="9"/>
      <c r="G933" s="9"/>
      <c r="H933" s="3">
        <f>E933-IF(F933="",0,F933)-IF(G933="",0,G933)</f>
      </c>
      <c r="I933" s="12"/>
    </row>
    <row r="934" ht="21.0" customHeight="1">
      <c r="A934" s="9"/>
      <c r="B934" s="9"/>
      <c r="C934" s="9"/>
      <c r="D934" s="2"/>
      <c r="E934" s="3">
        <f>9326.75+IF(AND(F933&lt;&gt;"",G933&lt;&gt;""),H933,0)</f>
      </c>
      <c r="F934" s="9"/>
      <c r="G934" s="9"/>
      <c r="H934" s="3">
        <f>E934-IF(F934="",0,F934)-IF(G934="",0,G934)</f>
      </c>
      <c r="I934" s="12"/>
    </row>
    <row r="935" ht="21.0" customHeight="1">
      <c r="A935" s="9"/>
      <c r="B935" s="9"/>
      <c r="C935" s="9"/>
      <c r="D935" s="2"/>
      <c r="E935" s="3">
        <f>9326.75+IF(AND(F934&lt;&gt;"",G934&lt;&gt;""),H934,0)</f>
      </c>
      <c r="F935" s="9"/>
      <c r="G935" s="9"/>
      <c r="H935" s="3">
        <f>E935-IF(F935="",0,F935)-IF(G935="",0,G935)</f>
      </c>
      <c r="I935" s="12"/>
    </row>
    <row r="936" ht="21.0" customHeight="1">
      <c r="A936" s="9"/>
      <c r="B936" s="9"/>
      <c r="C936" s="9"/>
      <c r="D936" s="2"/>
      <c r="E936" s="3">
        <f>9326.75+IF(AND(F935&lt;&gt;"",G935&lt;&gt;""),H935,0)</f>
      </c>
      <c r="F936" s="9"/>
      <c r="G936" s="9"/>
      <c r="H936" s="3">
        <f>E936-IF(F936="",0,F936)-IF(G936="",0,G936)</f>
      </c>
      <c r="I936" s="12"/>
    </row>
    <row r="937" ht="21.0" customHeight="1">
      <c r="A937" s="9"/>
      <c r="B937" s="9"/>
      <c r="C937" s="9"/>
      <c r="D937" s="2"/>
      <c r="E937" s="3">
        <f>9326.75+IF(AND(F936&lt;&gt;"",G936&lt;&gt;""),H936,0)</f>
      </c>
      <c r="F937" s="9"/>
      <c r="G937" s="9"/>
      <c r="H937" s="3">
        <f>E937-IF(F937="",0,F937)-IF(G937="",0,G937)</f>
      </c>
      <c r="I937" s="12"/>
    </row>
    <row r="938" ht="21.0" customHeight="1">
      <c r="A938" s="9"/>
      <c r="B938" s="9"/>
      <c r="C938" s="9"/>
      <c r="D938" s="2"/>
      <c r="E938" s="3">
        <f>9326.75+IF(AND(F937&lt;&gt;"",G937&lt;&gt;""),H937,0)</f>
      </c>
      <c r="F938" s="9"/>
      <c r="G938" s="9"/>
      <c r="H938" s="3">
        <f>E938-IF(F938="",0,F938)-IF(G938="",0,G938)</f>
      </c>
      <c r="I938" s="12"/>
    </row>
    <row r="939" ht="21.0" customHeight="1">
      <c r="A939" s="9"/>
      <c r="B939" s="9"/>
      <c r="C939" s="9"/>
      <c r="D939" s="2"/>
      <c r="E939" s="3">
        <f>9326.75+IF(AND(F938&lt;&gt;"",G938&lt;&gt;""),H938,0)</f>
      </c>
      <c r="F939" s="9"/>
      <c r="G939" s="9"/>
      <c r="H939" s="3">
        <f>E939-IF(F939="",0,F939)-IF(G939="",0,G939)</f>
      </c>
      <c r="I939" s="12"/>
    </row>
    <row r="940" ht="21.0" customHeight="1">
      <c r="A940" s="9"/>
      <c r="B940" s="9"/>
      <c r="C940" s="9"/>
      <c r="D940" s="2"/>
      <c r="E940" s="3">
        <f>9326.75+IF(AND(F939&lt;&gt;"",G939&lt;&gt;""),H939,0)</f>
      </c>
      <c r="F940" s="9"/>
      <c r="G940" s="9"/>
      <c r="H940" s="3">
        <f>E940-IF(F940="",0,F940)-IF(G940="",0,G940)</f>
      </c>
      <c r="I940" s="12"/>
    </row>
    <row r="941" ht="21.0" customHeight="1">
      <c r="A941" s="9"/>
      <c r="B941" s="9"/>
      <c r="C941" s="9"/>
      <c r="D941" s="2"/>
      <c r="E941" s="3">
        <f>9326.75+IF(AND(F940&lt;&gt;"",G940&lt;&gt;""),H940,0)</f>
      </c>
      <c r="F941" s="9"/>
      <c r="G941" s="9"/>
      <c r="H941" s="3">
        <f>E941-IF(F941="",0,F941)-IF(G941="",0,G941)</f>
      </c>
      <c r="I941" s="12"/>
    </row>
    <row r="942" ht="21.0" customHeight="1">
      <c r="A942" s="9"/>
      <c r="B942" s="9"/>
      <c r="C942" s="9"/>
      <c r="D942" s="2"/>
      <c r="E942" s="3">
        <f>9326.75+IF(AND(F941&lt;&gt;"",G941&lt;&gt;""),H941,0)</f>
      </c>
      <c r="F942" s="9"/>
      <c r="G942" s="9"/>
      <c r="H942" s="3">
        <f>E942-IF(F942="",0,F942)-IF(G942="",0,G942)</f>
      </c>
      <c r="I942" s="12"/>
    </row>
    <row r="943" ht="21.0" customHeight="1">
      <c r="A943" s="9"/>
      <c r="B943" s="9"/>
      <c r="C943" s="9"/>
      <c r="D943" s="2"/>
      <c r="E943" s="3">
        <f>9326.75+IF(AND(F942&lt;&gt;"",G942&lt;&gt;""),H942,0)</f>
      </c>
      <c r="F943" s="9"/>
      <c r="G943" s="9"/>
      <c r="H943" s="3">
        <f>E943-IF(F943="",0,F943)-IF(G943="",0,G943)</f>
      </c>
      <c r="I943" s="12"/>
    </row>
    <row r="944" ht="21.0" customHeight="1">
      <c r="A944" s="9"/>
      <c r="B944" s="9"/>
      <c r="C944" s="9"/>
      <c r="D944" s="2"/>
      <c r="E944" s="3">
        <f>9326.75+IF(AND(F943&lt;&gt;"",G943&lt;&gt;""),H943,0)</f>
      </c>
      <c r="F944" s="9"/>
      <c r="G944" s="9"/>
      <c r="H944" s="3">
        <f>E944-IF(F944="",0,F944)-IF(G944="",0,G944)</f>
      </c>
      <c r="I944" s="12"/>
    </row>
    <row r="945" ht="21.0" customHeight="1">
      <c r="A945" s="9"/>
      <c r="B945" s="9"/>
      <c r="C945" s="9"/>
      <c r="D945" s="2"/>
      <c r="E945" s="3">
        <f>9326.75+IF(AND(F944&lt;&gt;"",G944&lt;&gt;""),H944,0)</f>
      </c>
      <c r="F945" s="9"/>
      <c r="G945" s="9"/>
      <c r="H945" s="3">
        <f>E945-IF(F945="",0,F945)-IF(G945="",0,G945)</f>
      </c>
      <c r="I945" s="12"/>
    </row>
    <row r="946" ht="21.0" customHeight="1">
      <c r="A946" s="9"/>
      <c r="B946" s="9"/>
      <c r="C946" s="9"/>
      <c r="D946" s="2"/>
      <c r="E946" s="3">
        <f>9326.75+IF(AND(F945&lt;&gt;"",G945&lt;&gt;""),H945,0)</f>
      </c>
      <c r="F946" s="9"/>
      <c r="G946" s="9"/>
      <c r="H946" s="3">
        <f>E946-IF(F946="",0,F946)-IF(G946="",0,G946)</f>
      </c>
      <c r="I946" s="12"/>
    </row>
    <row r="947" ht="21.0" customHeight="1">
      <c r="A947" s="9"/>
      <c r="B947" s="9"/>
      <c r="C947" s="9"/>
      <c r="D947" s="2"/>
      <c r="E947" s="3">
        <f>9326.75+IF(AND(F946&lt;&gt;"",G946&lt;&gt;""),H946,0)</f>
      </c>
      <c r="F947" s="9"/>
      <c r="G947" s="9"/>
      <c r="H947" s="3">
        <f>E947-IF(F947="",0,F947)-IF(G947="",0,G947)</f>
      </c>
      <c r="I947" s="12"/>
    </row>
    <row r="948" ht="21.0" customHeight="1">
      <c r="A948" s="9"/>
      <c r="B948" s="9"/>
      <c r="C948" s="9"/>
      <c r="D948" s="2"/>
      <c r="E948" s="3">
        <f>9326.75+IF(AND(F947&lt;&gt;"",G947&lt;&gt;""),H947,0)</f>
      </c>
      <c r="F948" s="9"/>
      <c r="G948" s="9"/>
      <c r="H948" s="3">
        <f>E948-IF(F948="",0,F948)-IF(G948="",0,G948)</f>
      </c>
      <c r="I948" s="12"/>
    </row>
    <row r="949" ht="21.0" customHeight="1">
      <c r="A949" s="9"/>
      <c r="B949" s="9"/>
      <c r="C949" s="9"/>
      <c r="D949" s="2"/>
      <c r="E949" s="3">
        <f>9326.75+IF(AND(F948&lt;&gt;"",G948&lt;&gt;""),H948,0)</f>
      </c>
      <c r="F949" s="9"/>
      <c r="G949" s="9"/>
      <c r="H949" s="3">
        <f>E949-IF(F949="",0,F949)-IF(G949="",0,G949)</f>
      </c>
      <c r="I949" s="12"/>
    </row>
    <row r="950" ht="21.0" customHeight="1">
      <c r="A950" s="9"/>
      <c r="B950" s="9"/>
      <c r="C950" s="9"/>
      <c r="D950" s="2"/>
      <c r="E950" s="3">
        <f>9326.75+IF(AND(F949&lt;&gt;"",G949&lt;&gt;""),H949,0)</f>
      </c>
      <c r="F950" s="9"/>
      <c r="G950" s="9"/>
      <c r="H950" s="3">
        <f>E950-IF(F950="",0,F950)-IF(G950="",0,G950)</f>
      </c>
      <c r="I950" s="12"/>
    </row>
    <row r="951" ht="21.0" customHeight="1">
      <c r="A951" s="9"/>
      <c r="B951" s="9"/>
      <c r="C951" s="9"/>
      <c r="D951" s="2"/>
      <c r="E951" s="3">
        <f>9326.75+IF(AND(F950&lt;&gt;"",G950&lt;&gt;""),H950,0)</f>
      </c>
      <c r="F951" s="9"/>
      <c r="G951" s="9"/>
      <c r="H951" s="3">
        <f>E951-IF(F951="",0,F951)-IF(G951="",0,G951)</f>
      </c>
      <c r="I951" s="12"/>
    </row>
    <row r="952" ht="21.0" customHeight="1">
      <c r="A952" s="9"/>
      <c r="B952" s="9"/>
      <c r="C952" s="9"/>
      <c r="D952" s="2"/>
      <c r="E952" s="3">
        <f>9326.75+IF(AND(F951&lt;&gt;"",G951&lt;&gt;""),H951,0)</f>
      </c>
      <c r="F952" s="9"/>
      <c r="G952" s="9"/>
      <c r="H952" s="3">
        <f>E952-IF(F952="",0,F952)-IF(G952="",0,G952)</f>
      </c>
      <c r="I952" s="12"/>
    </row>
    <row r="953" ht="21.0" customHeight="1">
      <c r="A953" s="9"/>
      <c r="B953" s="9"/>
      <c r="C953" s="9"/>
      <c r="D953" s="2"/>
      <c r="E953" s="3">
        <f>9326.75+IF(AND(F952&lt;&gt;"",G952&lt;&gt;""),H952,0)</f>
      </c>
      <c r="F953" s="9"/>
      <c r="G953" s="9"/>
      <c r="H953" s="3">
        <f>E953-IF(F953="",0,F953)-IF(G953="",0,G953)</f>
      </c>
      <c r="I953" s="12"/>
    </row>
    <row r="954" ht="21.0" customHeight="1">
      <c r="A954" s="9"/>
      <c r="B954" s="9"/>
      <c r="C954" s="9"/>
      <c r="D954" s="2"/>
      <c r="E954" s="3">
        <f>9326.75+IF(AND(F953&lt;&gt;"",G953&lt;&gt;""),H953,0)</f>
      </c>
      <c r="F954" s="9"/>
      <c r="G954" s="9"/>
      <c r="H954" s="3">
        <f>E954-IF(F954="",0,F954)-IF(G954="",0,G954)</f>
      </c>
      <c r="I954" s="12"/>
    </row>
    <row r="955" ht="21.0" customHeight="1">
      <c r="A955" s="9"/>
      <c r="B955" s="9"/>
      <c r="C955" s="9"/>
      <c r="D955" s="2"/>
      <c r="E955" s="3">
        <f>9326.75+IF(AND(F954&lt;&gt;"",G954&lt;&gt;""),H954,0)</f>
      </c>
      <c r="F955" s="9"/>
      <c r="G955" s="9"/>
      <c r="H955" s="3">
        <f>E955-IF(F955="",0,F955)-IF(G955="",0,G955)</f>
      </c>
      <c r="I955" s="12"/>
    </row>
    <row r="956" ht="21.0" customHeight="1">
      <c r="A956" s="9"/>
      <c r="B956" s="9"/>
      <c r="C956" s="9"/>
      <c r="D956" s="2"/>
      <c r="E956" s="3">
        <f>9326.75+IF(AND(F955&lt;&gt;"",G955&lt;&gt;""),H955,0)</f>
      </c>
      <c r="F956" s="9"/>
      <c r="G956" s="9"/>
      <c r="H956" s="3">
        <f>E956-IF(F956="",0,F956)-IF(G956="",0,G956)</f>
      </c>
      <c r="I956" s="12"/>
    </row>
    <row r="957" ht="21.0" customHeight="1">
      <c r="A957" s="9"/>
      <c r="B957" s="9"/>
      <c r="C957" s="9"/>
      <c r="D957" s="2"/>
      <c r="E957" s="3">
        <f>9326.75+IF(AND(F956&lt;&gt;"",G956&lt;&gt;""),H956,0)</f>
      </c>
      <c r="F957" s="9"/>
      <c r="G957" s="9"/>
      <c r="H957" s="3">
        <f>E957-IF(F957="",0,F957)-IF(G957="",0,G957)</f>
      </c>
      <c r="I957" s="12"/>
    </row>
    <row r="958" ht="21.0" customHeight="1">
      <c r="A958" s="9"/>
      <c r="B958" s="9"/>
      <c r="C958" s="9"/>
      <c r="D958" s="2"/>
      <c r="E958" s="3">
        <f>9326.75+IF(AND(F957&lt;&gt;"",G957&lt;&gt;""),H957,0)</f>
      </c>
      <c r="F958" s="9"/>
      <c r="G958" s="9"/>
      <c r="H958" s="3">
        <f>E958-IF(F958="",0,F958)-IF(G958="",0,G958)</f>
      </c>
      <c r="I958" s="12"/>
    </row>
    <row r="959" ht="21.0" customHeight="1">
      <c r="A959" s="9"/>
      <c r="B959" s="9"/>
      <c r="C959" s="9"/>
      <c r="D959" s="2"/>
      <c r="E959" s="3">
        <f>9326.75+IF(AND(F958&lt;&gt;"",G958&lt;&gt;""),H958,0)</f>
      </c>
      <c r="F959" s="9"/>
      <c r="G959" s="9"/>
      <c r="H959" s="3">
        <f>E959-IF(F959="",0,F959)-IF(G959="",0,G959)</f>
      </c>
      <c r="I959" s="12"/>
    </row>
    <row r="960" ht="21.0" customHeight="1">
      <c r="A960" s="9"/>
      <c r="B960" s="9"/>
      <c r="C960" s="9"/>
      <c r="D960" s="2"/>
      <c r="E960" s="3">
        <f>9326.75+IF(AND(F959&lt;&gt;"",G959&lt;&gt;""),H959,0)</f>
      </c>
      <c r="F960" s="9"/>
      <c r="G960" s="9"/>
      <c r="H960" s="3">
        <f>E960-IF(F960="",0,F960)-IF(G960="",0,G960)</f>
      </c>
      <c r="I960" s="12"/>
    </row>
    <row r="961" ht="21.0" customHeight="1">
      <c r="A961" s="9"/>
      <c r="B961" s="9"/>
      <c r="C961" s="9"/>
      <c r="D961" s="2"/>
      <c r="E961" s="3">
        <f>9326.75+IF(AND(F960&lt;&gt;"",G960&lt;&gt;""),H960,0)</f>
      </c>
      <c r="F961" s="9"/>
      <c r="G961" s="9"/>
      <c r="H961" s="3">
        <f>E961-IF(F961="",0,F961)-IF(G961="",0,G961)</f>
      </c>
      <c r="I961" s="12"/>
    </row>
    <row r="962" ht="21.0" customHeight="1">
      <c r="A962" s="9"/>
      <c r="B962" s="9"/>
      <c r="C962" s="9"/>
      <c r="D962" s="2"/>
      <c r="E962" s="3">
        <f>9326.75+IF(AND(F961&lt;&gt;"",G961&lt;&gt;""),H961,0)</f>
      </c>
      <c r="F962" s="9"/>
      <c r="G962" s="9"/>
      <c r="H962" s="3">
        <f>E962-IF(F962="",0,F962)-IF(G962="",0,G962)</f>
      </c>
      <c r="I962" s="12"/>
    </row>
    <row r="963" ht="21.0" customHeight="1">
      <c r="A963" s="9"/>
      <c r="B963" s="9"/>
      <c r="C963" s="9"/>
      <c r="D963" s="2"/>
      <c r="E963" s="3">
        <f>9326.75+IF(AND(F962&lt;&gt;"",G962&lt;&gt;""),H962,0)</f>
      </c>
      <c r="F963" s="9"/>
      <c r="G963" s="9"/>
      <c r="H963" s="3">
        <f>E963-IF(F963="",0,F963)-IF(G963="",0,G963)</f>
      </c>
      <c r="I963" s="12"/>
    </row>
    <row r="964" ht="21.0" customHeight="1">
      <c r="A964" s="9"/>
      <c r="B964" s="9"/>
      <c r="C964" s="9"/>
      <c r="D964" s="2"/>
      <c r="E964" s="3">
        <f>9326.75+IF(AND(F963&lt;&gt;"",G963&lt;&gt;""),H963,0)</f>
      </c>
      <c r="F964" s="9"/>
      <c r="G964" s="9"/>
      <c r="H964" s="3">
        <f>E964-IF(F964="",0,F964)-IF(G964="",0,G964)</f>
      </c>
      <c r="I964" s="12"/>
    </row>
    <row r="965" ht="21.0" customHeight="1">
      <c r="A965" s="9"/>
      <c r="B965" s="9"/>
      <c r="C965" s="9"/>
      <c r="D965" s="2"/>
      <c r="E965" s="3">
        <f>9326.75+IF(AND(F964&lt;&gt;"",G964&lt;&gt;""),H964,0)</f>
      </c>
      <c r="F965" s="9"/>
      <c r="G965" s="9"/>
      <c r="H965" s="3">
        <f>E965-IF(F965="",0,F965)-IF(G965="",0,G965)</f>
      </c>
      <c r="I965" s="12"/>
    </row>
    <row r="966" ht="21.0" customHeight="1">
      <c r="A966" s="9"/>
      <c r="B966" s="9"/>
      <c r="C966" s="9"/>
      <c r="D966" s="2"/>
      <c r="E966" s="3">
        <f>9326.75+IF(AND(F965&lt;&gt;"",G965&lt;&gt;""),H965,0)</f>
      </c>
      <c r="F966" s="9"/>
      <c r="G966" s="9"/>
      <c r="H966" s="3">
        <f>E966-IF(F966="",0,F966)-IF(G966="",0,G966)</f>
      </c>
      <c r="I966" s="12"/>
    </row>
    <row r="967" ht="21.0" customHeight="1">
      <c r="A967" s="9"/>
      <c r="B967" s="9"/>
      <c r="C967" s="9"/>
      <c r="D967" s="2"/>
      <c r="E967" s="3">
        <f>9326.75+IF(AND(F966&lt;&gt;"",G966&lt;&gt;""),H966,0)</f>
      </c>
      <c r="F967" s="9"/>
      <c r="G967" s="9"/>
      <c r="H967" s="3">
        <f>E967-IF(F967="",0,F967)-IF(G967="",0,G967)</f>
      </c>
      <c r="I967" s="12"/>
    </row>
    <row r="968" ht="21.0" customHeight="1">
      <c r="A968" s="9"/>
      <c r="B968" s="9"/>
      <c r="C968" s="9"/>
      <c r="D968" s="2"/>
      <c r="E968" s="3">
        <f>9326.75+IF(AND(F967&lt;&gt;"",G967&lt;&gt;""),H967,0)</f>
      </c>
      <c r="F968" s="9"/>
      <c r="G968" s="9"/>
      <c r="H968" s="3">
        <f>E968-IF(F968="",0,F968)-IF(G968="",0,G968)</f>
      </c>
      <c r="I968" s="12"/>
    </row>
    <row r="969" ht="21.0" customHeight="1">
      <c r="A969" s="9"/>
      <c r="B969" s="9"/>
      <c r="C969" s="9"/>
      <c r="D969" s="2"/>
      <c r="E969" s="3">
        <f>9326.75+IF(AND(F968&lt;&gt;"",G968&lt;&gt;""),H968,0)</f>
      </c>
      <c r="F969" s="9"/>
      <c r="G969" s="9"/>
      <c r="H969" s="3">
        <f>E969-IF(F969="",0,F969)-IF(G969="",0,G969)</f>
      </c>
      <c r="I969" s="12"/>
    </row>
    <row r="970" ht="21.0" customHeight="1">
      <c r="A970" s="9"/>
      <c r="B970" s="9"/>
      <c r="C970" s="9"/>
      <c r="D970" s="2"/>
      <c r="E970" s="3">
        <f>9326.75+IF(AND(F969&lt;&gt;"",G969&lt;&gt;""),H969,0)</f>
      </c>
      <c r="F970" s="9"/>
      <c r="G970" s="9"/>
      <c r="H970" s="3">
        <f>E970-IF(F970="",0,F970)-IF(G970="",0,G970)</f>
      </c>
      <c r="I970" s="12"/>
    </row>
    <row r="971" ht="21.0" customHeight="1">
      <c r="A971" s="9"/>
      <c r="B971" s="9"/>
      <c r="C971" s="9"/>
      <c r="D971" s="2"/>
      <c r="E971" s="3">
        <f>9326.75+IF(AND(F970&lt;&gt;"",G970&lt;&gt;""),H970,0)</f>
      </c>
      <c r="F971" s="9"/>
      <c r="G971" s="9"/>
      <c r="H971" s="3">
        <f>E971-IF(F971="",0,F971)-IF(G971="",0,G971)</f>
      </c>
      <c r="I971" s="12"/>
    </row>
    <row r="972" ht="21.0" customHeight="1">
      <c r="A972" s="9"/>
      <c r="B972" s="9"/>
      <c r="C972" s="9"/>
      <c r="D972" s="2"/>
      <c r="E972" s="3">
        <f>9326.75+IF(AND(F971&lt;&gt;"",G971&lt;&gt;""),H971,0)</f>
      </c>
      <c r="F972" s="9"/>
      <c r="G972" s="9"/>
      <c r="H972" s="3">
        <f>E972-IF(F972="",0,F972)-IF(G972="",0,G972)</f>
      </c>
      <c r="I972" s="12"/>
    </row>
    <row r="973" ht="21.0" customHeight="1">
      <c r="A973" s="9"/>
      <c r="B973" s="9"/>
      <c r="C973" s="9"/>
      <c r="D973" s="2"/>
      <c r="E973" s="3">
        <f>9326.75+IF(AND(F972&lt;&gt;"",G972&lt;&gt;""),H972,0)</f>
      </c>
      <c r="F973" s="9"/>
      <c r="G973" s="9"/>
      <c r="H973" s="3">
        <f>E973-IF(F973="",0,F973)-IF(G973="",0,G973)</f>
      </c>
      <c r="I973" s="12"/>
    </row>
    <row r="974" ht="21.0" customHeight="1">
      <c r="A974" s="9"/>
      <c r="B974" s="9"/>
      <c r="C974" s="9"/>
      <c r="D974" s="2"/>
      <c r="E974" s="3">
        <f>9326.75+IF(AND(F973&lt;&gt;"",G973&lt;&gt;""),H973,0)</f>
      </c>
      <c r="F974" s="9"/>
      <c r="G974" s="9"/>
      <c r="H974" s="3">
        <f>E974-IF(F974="",0,F974)-IF(G974="",0,G974)</f>
      </c>
      <c r="I974" s="12"/>
    </row>
    <row r="975" ht="21.0" customHeight="1">
      <c r="A975" s="9"/>
      <c r="B975" s="9"/>
      <c r="C975" s="9"/>
      <c r="D975" s="2"/>
      <c r="E975" s="3">
        <f>9326.75+IF(AND(F974&lt;&gt;"",G974&lt;&gt;""),H974,0)</f>
      </c>
      <c r="F975" s="9"/>
      <c r="G975" s="9"/>
      <c r="H975" s="3">
        <f>E975-IF(F975="",0,F975)-IF(G975="",0,G975)</f>
      </c>
      <c r="I975" s="12"/>
    </row>
    <row r="976" ht="21.0" customHeight="1">
      <c r="A976" s="9"/>
      <c r="B976" s="9"/>
      <c r="C976" s="9"/>
      <c r="D976" s="2"/>
      <c r="E976" s="3">
        <f>9326.75+IF(AND(F975&lt;&gt;"",G975&lt;&gt;""),H975,0)</f>
      </c>
      <c r="F976" s="9"/>
      <c r="G976" s="9"/>
      <c r="H976" s="3">
        <f>E976-IF(F976="",0,F976)-IF(G976="",0,G976)</f>
      </c>
      <c r="I976" s="12"/>
    </row>
    <row r="977" ht="21.0" customHeight="1">
      <c r="A977" s="9"/>
      <c r="B977" s="9"/>
      <c r="C977" s="9"/>
      <c r="D977" s="2"/>
      <c r="E977" s="3">
        <f>9326.75+IF(AND(F976&lt;&gt;"",G976&lt;&gt;""),H976,0)</f>
      </c>
      <c r="F977" s="9"/>
      <c r="G977" s="9"/>
      <c r="H977" s="3">
        <f>E977-IF(F977="",0,F977)-IF(G977="",0,G977)</f>
      </c>
      <c r="I977" s="12"/>
    </row>
    <row r="978" ht="21.0" customHeight="1">
      <c r="A978" s="9"/>
      <c r="B978" s="9"/>
      <c r="C978" s="9"/>
      <c r="D978" s="2"/>
      <c r="E978" s="3">
        <f>9326.75+IF(AND(F977&lt;&gt;"",G977&lt;&gt;""),H977,0)</f>
      </c>
      <c r="F978" s="9"/>
      <c r="G978" s="9"/>
      <c r="H978" s="3">
        <f>E978-IF(F978="",0,F978)-IF(G978="",0,G978)</f>
      </c>
      <c r="I978" s="12"/>
    </row>
    <row r="979" ht="21.0" customHeight="1">
      <c r="A979" s="9"/>
      <c r="B979" s="9"/>
      <c r="C979" s="9"/>
      <c r="D979" s="2"/>
      <c r="E979" s="3">
        <f>9326.75+IF(AND(F978&lt;&gt;"",G978&lt;&gt;""),H978,0)</f>
      </c>
      <c r="F979" s="9"/>
      <c r="G979" s="9"/>
      <c r="H979" s="3">
        <f>E979-IF(F979="",0,F979)-IF(G979="",0,G979)</f>
      </c>
      <c r="I979" s="12"/>
    </row>
    <row r="980" ht="21.0" customHeight="1">
      <c r="A980" s="9"/>
      <c r="B980" s="9"/>
      <c r="C980" s="9"/>
      <c r="D980" s="2"/>
      <c r="E980" s="3">
        <f>9326.75+IF(AND(F979&lt;&gt;"",G979&lt;&gt;""),H979,0)</f>
      </c>
      <c r="F980" s="9"/>
      <c r="G980" s="9"/>
      <c r="H980" s="3">
        <f>E980-IF(F980="",0,F980)-IF(G980="",0,G980)</f>
      </c>
      <c r="I980" s="12"/>
    </row>
    <row r="981" ht="21.0" customHeight="1">
      <c r="A981" s="9"/>
      <c r="B981" s="9"/>
      <c r="C981" s="9"/>
      <c r="D981" s="2"/>
      <c r="E981" s="3">
        <f>9326.75+IF(AND(F980&lt;&gt;"",G980&lt;&gt;""),H980,0)</f>
      </c>
      <c r="F981" s="9"/>
      <c r="G981" s="9"/>
      <c r="H981" s="3">
        <f>E981-IF(F981="",0,F981)-IF(G981="",0,G981)</f>
      </c>
      <c r="I981" s="12"/>
    </row>
    <row r="982" ht="21.0" customHeight="1">
      <c r="A982" s="9"/>
      <c r="B982" s="9"/>
      <c r="C982" s="9"/>
      <c r="D982" s="2"/>
      <c r="E982" s="3">
        <f>9326.75+IF(AND(F981&lt;&gt;"",G981&lt;&gt;""),H981,0)</f>
      </c>
      <c r="F982" s="9"/>
      <c r="G982" s="9"/>
      <c r="H982" s="3">
        <f>E982-IF(F982="",0,F982)-IF(G982="",0,G982)</f>
      </c>
      <c r="I982" s="12"/>
    </row>
    <row r="983" ht="21.0" customHeight="1">
      <c r="A983" s="9"/>
      <c r="B983" s="9"/>
      <c r="C983" s="9"/>
      <c r="D983" s="2"/>
      <c r="E983" s="3">
        <f>9326.75+IF(AND(F982&lt;&gt;"",G982&lt;&gt;""),H982,0)</f>
      </c>
      <c r="F983" s="9"/>
      <c r="G983" s="9"/>
      <c r="H983" s="3">
        <f>E983-IF(F983="",0,F983)-IF(G983="",0,G983)</f>
      </c>
      <c r="I983" s="12"/>
    </row>
    <row r="984" ht="21.0" customHeight="1">
      <c r="A984" s="9"/>
      <c r="B984" s="9"/>
      <c r="C984" s="9"/>
      <c r="D984" s="2"/>
      <c r="E984" s="3">
        <f>9326.75+IF(AND(F983&lt;&gt;"",G983&lt;&gt;""),H983,0)</f>
      </c>
      <c r="F984" s="9"/>
      <c r="G984" s="9"/>
      <c r="H984" s="3">
        <f>E984-IF(F984="",0,F984)-IF(G984="",0,G984)</f>
      </c>
      <c r="I984" s="12"/>
    </row>
    <row r="985" ht="21.0" customHeight="1">
      <c r="A985" s="9"/>
      <c r="B985" s="9"/>
      <c r="C985" s="9"/>
      <c r="D985" s="2"/>
      <c r="E985" s="3">
        <f>9326.75+IF(AND(F984&lt;&gt;"",G984&lt;&gt;""),H984,0)</f>
      </c>
      <c r="F985" s="9"/>
      <c r="G985" s="9"/>
      <c r="H985" s="3">
        <f>E985-IF(F985="",0,F985)-IF(G985="",0,G985)</f>
      </c>
      <c r="I985" s="12"/>
    </row>
    <row r="986" ht="21.0" customHeight="1">
      <c r="A986" s="9"/>
      <c r="B986" s="9"/>
      <c r="C986" s="9"/>
      <c r="D986" s="2"/>
      <c r="E986" s="3">
        <f>9326.75+IF(AND(F985&lt;&gt;"",G985&lt;&gt;""),H985,0)</f>
      </c>
      <c r="F986" s="9"/>
      <c r="G986" s="9"/>
      <c r="H986" s="3">
        <f>E986-IF(F986="",0,F986)-IF(G986="",0,G986)</f>
      </c>
      <c r="I986" s="12"/>
    </row>
    <row r="987" ht="21.0" customHeight="1">
      <c r="A987" s="9"/>
      <c r="B987" s="9"/>
      <c r="C987" s="9"/>
      <c r="D987" s="2"/>
      <c r="E987" s="3">
        <f>9326.75+IF(AND(F986&lt;&gt;"",G986&lt;&gt;""),H986,0)</f>
      </c>
      <c r="F987" s="9"/>
      <c r="G987" s="9"/>
      <c r="H987" s="3">
        <f>E987-IF(F987="",0,F987)-IF(G987="",0,G987)</f>
      </c>
      <c r="I987" s="12"/>
    </row>
    <row r="988" ht="21.0" customHeight="1">
      <c r="A988" s="9"/>
      <c r="B988" s="9"/>
      <c r="C988" s="9"/>
      <c r="D988" s="2"/>
      <c r="E988" s="3">
        <f>9326.75+IF(AND(F987&lt;&gt;"",G987&lt;&gt;""),H987,0)</f>
      </c>
      <c r="F988" s="9"/>
      <c r="G988" s="9"/>
      <c r="H988" s="3">
        <f>E988-IF(F988="",0,F988)-IF(G988="",0,G988)</f>
      </c>
      <c r="I988" s="12"/>
    </row>
    <row r="989" ht="21.0" customHeight="1">
      <c r="A989" s="9"/>
      <c r="B989" s="9"/>
      <c r="C989" s="9"/>
      <c r="D989" s="2"/>
      <c r="E989" s="3">
        <f>9326.75+IF(AND(F988&lt;&gt;"",G988&lt;&gt;""),H988,0)</f>
      </c>
      <c r="F989" s="9"/>
      <c r="G989" s="9"/>
      <c r="H989" s="3">
        <f>E989-IF(F989="",0,F989)-IF(G989="",0,G989)</f>
      </c>
      <c r="I989" s="12"/>
    </row>
    <row r="990" ht="21.0" customHeight="1">
      <c r="A990" s="9"/>
      <c r="B990" s="9"/>
      <c r="C990" s="9"/>
      <c r="D990" s="2"/>
      <c r="E990" s="3">
        <f>9326.75+IF(AND(F989&lt;&gt;"",G989&lt;&gt;""),H989,0)</f>
      </c>
      <c r="F990" s="9"/>
      <c r="G990" s="9"/>
      <c r="H990" s="3">
        <f>E990-IF(F990="",0,F990)-IF(G990="",0,G990)</f>
      </c>
      <c r="I990" s="12"/>
    </row>
    <row r="991" ht="21.0" customHeight="1">
      <c r="A991" s="9"/>
      <c r="B991" s="9"/>
      <c r="C991" s="9"/>
      <c r="D991" s="2"/>
      <c r="E991" s="3">
        <f>9326.75+IF(AND(F990&lt;&gt;"",G990&lt;&gt;""),H990,0)</f>
      </c>
      <c r="F991" s="9"/>
      <c r="G991" s="9"/>
      <c r="H991" s="3">
        <f>E991-IF(F991="",0,F991)-IF(G991="",0,G991)</f>
      </c>
      <c r="I991" s="12"/>
    </row>
    <row r="992" ht="21.0" customHeight="1">
      <c r="A992" s="9"/>
      <c r="B992" s="9"/>
      <c r="C992" s="9"/>
      <c r="D992" s="2"/>
      <c r="E992" s="3">
        <f>9326.75+IF(AND(F991&lt;&gt;"",G991&lt;&gt;""),H991,0)</f>
      </c>
      <c r="F992" s="9"/>
      <c r="G992" s="9"/>
      <c r="H992" s="3">
        <f>E992-IF(F992="",0,F992)-IF(G992="",0,G992)</f>
      </c>
      <c r="I992" s="12"/>
    </row>
    <row r="993" ht="21.0" customHeight="1">
      <c r="A993" s="9"/>
      <c r="B993" s="9"/>
      <c r="C993" s="9"/>
      <c r="D993" s="2"/>
      <c r="E993" s="3">
        <f>9326.75+IF(AND(F992&lt;&gt;"",G992&lt;&gt;""),H992,0)</f>
      </c>
      <c r="F993" s="9"/>
      <c r="G993" s="9"/>
      <c r="H993" s="3">
        <f>E993-IF(F993="",0,F993)-IF(G993="",0,G993)</f>
      </c>
      <c r="I993" s="12"/>
    </row>
    <row r="994" ht="21.0" customHeight="1">
      <c r="A994" s="9"/>
      <c r="B994" s="9"/>
      <c r="C994" s="9"/>
      <c r="D994" s="2"/>
      <c r="E994" s="3">
        <f>9326.75+IF(AND(F993&lt;&gt;"",G993&lt;&gt;""),H993,0)</f>
      </c>
      <c r="F994" s="9"/>
      <c r="G994" s="9"/>
      <c r="H994" s="3">
        <f>E994-IF(F994="",0,F994)-IF(G994="",0,G994)</f>
      </c>
      <c r="I994" s="12"/>
    </row>
    <row r="995" ht="21.0" customHeight="1">
      <c r="A995" s="9"/>
      <c r="B995" s="9"/>
      <c r="C995" s="9"/>
      <c r="D995" s="2"/>
      <c r="E995" s="3">
        <f>9326.75+IF(AND(F994&lt;&gt;"",G994&lt;&gt;""),H994,0)</f>
      </c>
      <c r="F995" s="9"/>
      <c r="G995" s="9"/>
      <c r="H995" s="3">
        <f>E995-IF(F995="",0,F995)-IF(G995="",0,G995)</f>
      </c>
      <c r="I995" s="12"/>
    </row>
    <row r="996" ht="21.0" customHeight="1">
      <c r="A996" s="9"/>
      <c r="B996" s="9"/>
      <c r="C996" s="9"/>
      <c r="D996" s="2"/>
      <c r="E996" s="3">
        <f>9326.75+IF(AND(F995&lt;&gt;"",G995&lt;&gt;""),H995,0)</f>
      </c>
      <c r="F996" s="9"/>
      <c r="G996" s="9"/>
      <c r="H996" s="3">
        <f>E996-IF(F996="",0,F996)-IF(G996="",0,G996)</f>
      </c>
      <c r="I996" s="12"/>
    </row>
    <row r="997" ht="21.0" customHeight="1">
      <c r="A997" s="9"/>
      <c r="B997" s="9"/>
      <c r="C997" s="9"/>
      <c r="D997" s="2"/>
      <c r="E997" s="3">
        <f>9326.75+IF(AND(F996&lt;&gt;"",G996&lt;&gt;""),H996,0)</f>
      </c>
      <c r="F997" s="9"/>
      <c r="G997" s="9"/>
      <c r="H997" s="3">
        <f>E997-IF(F997="",0,F997)-IF(G997="",0,G997)</f>
      </c>
      <c r="I997" s="12"/>
    </row>
    <row r="998" ht="21.0" customHeight="1">
      <c r="A998" s="9"/>
      <c r="B998" s="9"/>
      <c r="C998" s="9"/>
      <c r="D998" s="2"/>
      <c r="E998" s="3">
        <f>9326.75+IF(AND(F997&lt;&gt;"",G997&lt;&gt;""),H997,0)</f>
      </c>
      <c r="F998" s="9"/>
      <c r="G998" s="9"/>
      <c r="H998" s="3">
        <f>E998-IF(F998="",0,F998)-IF(G998="",0,G998)</f>
      </c>
      <c r="I998" s="12"/>
    </row>
    <row r="999" ht="21.0" customHeight="1">
      <c r="A999" s="9"/>
      <c r="B999" s="9"/>
      <c r="C999" s="9"/>
      <c r="D999" s="2"/>
      <c r="E999" s="3">
        <f>9326.75+IF(AND(F998&lt;&gt;"",G998&lt;&gt;""),H998,0)</f>
      </c>
      <c r="F999" s="9"/>
      <c r="G999" s="9"/>
      <c r="H999" s="3">
        <f>E999-IF(F999="",0,F999)-IF(G999="",0,G999)</f>
      </c>
      <c r="I999" s="12"/>
    </row>
    <row r="1000" ht="21.0" customHeight="1">
      <c r="A1000" s="9"/>
      <c r="B1000" s="9"/>
      <c r="C1000" s="9"/>
      <c r="D1000" s="2"/>
      <c r="E1000" s="3">
        <f>9326.75+IF(AND(F999&lt;&gt;"",G999&lt;&gt;""),H999,0)</f>
      </c>
      <c r="F1000" s="9"/>
      <c r="G1000" s="9"/>
      <c r="H1000" s="3">
        <f>E1000-IF(F1000="",0,F1000)-IF(G1000="",0,G1000)</f>
      </c>
      <c r="I1000" s="1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2026-03-17T00:00:00Z</dcterms:created>
  <dc:creator>Codex</dc:creator>
</cp:coreProperties>
</file>