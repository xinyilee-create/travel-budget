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Weekly Lunch" sheetId="2" r:id="rId2"/>
  </sheets>
</workbook>
</file>

<file path=xl/styles.xml><?xml version="1.0" encoding="utf-8"?>
<styleSheet xmlns="http://schemas.openxmlformats.org/spreadsheetml/2006/main">
  <numFmts count="1">
    <numFmt numFmtId="164" formatCode="&quot;NT$&quot;#,##0"/>
  </numFmts>
  <fonts count="3">
    <font>
      <sz val="11"/>
      <name val="Aptos"/>
      <family val="2"/>
    </font>
    <font>
      <b/>
      <sz val="11"/>
      <name val="Aptos"/>
      <family val="2"/>
    </font>
    <font>
      <b/>
      <color rgb="FFFFFFFF"/>
      <sz val="1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EAF2FF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ill="1" applyFont="1" applyBorder="1"/>
    <xf numFmtId="164" fontId="0" fillId="0" borderId="1" xfId="0" applyNumberFormat="1" applyBorder="1"/>
    <xf numFmtId="0" fontId="0" fillId="0" borderId="1" xfId="0" applyBorder="1"/>
    <xf numFmtId="0" fontId="1" fillId="0" borderId="1" xfId="0" applyBorder="1" applyFont="1"/>
    <xf numFmtId="0" fontId="2" fillId="3" borderId="1" xfId="0" applyFill="1" applyFon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21"/>
  <cols>
    <col min="1" max="1" width="22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2" customWidth="1"/>
    <col min="9" max="9" width="34" customWidth="1"/>
  </cols>
  <sheetData>
    <row r="1">
      <c r="A1" t="inlineStr" s="1">
        <is>
          <t>Event</t>
        </is>
      </c>
      <c r="B1" t="inlineStr" s="1">
        <is>
          <t>Quarter</t>
        </is>
      </c>
      <c r="C1" t="inlineStr" s="1">
        <is>
          <t>Budget</t>
        </is>
      </c>
      <c r="D1" t="inlineStr" s="1">
        <is>
          <t>Spent</t>
        </is>
      </c>
      <c r="E1" t="inlineStr" s="1">
        <is>
          <t>Transfer</t>
        </is>
      </c>
      <c r="F1" t="inlineStr" s="1">
        <is>
          <t>Net Budget</t>
        </is>
      </c>
      <c r="G1" t="inlineStr" s="1">
        <is>
          <t>Budget Left</t>
        </is>
      </c>
      <c r="H1" t="inlineStr" s="1">
        <is>
          <t>Status</t>
        </is>
      </c>
      <c r="I1" t="inlineStr" s="1">
        <is>
          <t>Notes</t>
        </is>
      </c>
    </row>
    <row r="2">
      <c r="A2" t="inlineStr" s="3">
        <is>
          <t>reserved for 2027 YED</t>
        </is>
      </c>
      <c r="B2" t="inlineStr" s="3">
        <is>
          <t>Q1</t>
        </is>
      </c>
      <c r="C2" s="2">
        <v>125000</v>
      </c>
      <c r="D2" s="2">
        <v>0</v>
      </c>
      <c r="E2" s="2">
        <v>0</v>
      </c>
      <c r="F2" s="2">
        <f>C2+E2</f>
      </c>
      <c r="G2" s="2">
        <f>F2-D2</f>
      </c>
      <c r="H2" s="3">
        <f>IF(G2&lt;0,"Over","OK")</f>
      </c>
      <c r="I2" t="inlineStr" s="3">
        <is>
          <t>Carry for 2027</t>
        </is>
      </c>
    </row>
    <row r="3">
      <c r="A3" t="inlineStr" s="3">
        <is>
          <t>頌缽</t>
        </is>
      </c>
      <c r="B3" t="inlineStr" s="3">
        <is>
          <t>Q2</t>
        </is>
      </c>
      <c r="C3" s="2">
        <v>100000</v>
      </c>
      <c r="D3" s="2">
        <v>23793</v>
      </c>
      <c r="E3" s="2">
        <v>7102</v>
      </c>
      <c r="F3" s="2">
        <f>C3+E3</f>
      </c>
      <c r="G3" s="2">
        <f>F3-D3</f>
      </c>
      <c r="H3" s="3">
        <f>IF(G3&lt;0,"Over","OK")</f>
      </c>
      <c r="I3" t="inlineStr" s="3">
        <is>
          <t>Added ERG top-up based on original note</t>
        </is>
      </c>
    </row>
    <row r="4">
      <c r="A4" t="inlineStr" s="3">
        <is>
          <t>潤餅</t>
        </is>
      </c>
      <c r="B4" t="inlineStr" s="3">
        <is>
          <t>Q2</t>
        </is>
      </c>
      <c r="C4" s="2">
        <v>100000</v>
      </c>
      <c r="D4" s="2">
        <v>33990</v>
      </c>
      <c r="E4" s="2">
        <v>0</v>
      </c>
      <c r="F4" s="2">
        <f>C4+E4</f>
      </c>
      <c r="G4" s="2">
        <f>F4-D4</f>
      </c>
      <c r="H4" s="3">
        <f>IF(G4&lt;0,"Over","OK")</f>
      </c>
      <c r="I4" t="inlineStr" s="3">
        <is>
          <t>Budget left was missing in original file</t>
        </is>
      </c>
    </row>
    <row r="5">
      <c r="A5" t="inlineStr" s="3">
        <is>
          <t>TBD</t>
        </is>
      </c>
      <c r="B5" t="inlineStr" s="3">
        <is>
          <t>Q3</t>
        </is>
      </c>
      <c r="C5" s="2">
        <v>100000</v>
      </c>
      <c r="D5" s="2">
        <v>0</v>
      </c>
      <c r="E5" s="2">
        <v>0</v>
      </c>
      <c r="F5" s="2">
        <f>C5+E5</f>
      </c>
      <c r="G5" s="2">
        <f>F5-D5</f>
      </c>
      <c r="H5" s="3">
        <f>IF(G5&lt;0,"Over","OK")</f>
      </c>
      <c r="I5" t="inlineStr" s="3">
        <is>
          <t>Keep as placeholder</t>
        </is>
      </c>
    </row>
    <row r="6">
      <c r="A6" t="inlineStr" s="3">
        <is>
          <t>reserved for 2027 YED</t>
        </is>
      </c>
      <c r="B6" t="inlineStr" s="3">
        <is>
          <t>Q4</t>
        </is>
      </c>
      <c r="C6" s="2">
        <v>125000</v>
      </c>
      <c r="D6" s="2">
        <v>0</v>
      </c>
      <c r="E6" s="2">
        <v>0</v>
      </c>
      <c r="F6" s="2">
        <f>C6+E6</f>
      </c>
      <c r="G6" s="2">
        <f>F6-D6</f>
      </c>
      <c r="H6" s="3">
        <f>IF(G6&lt;0,"Over","OK")</f>
      </c>
      <c r="I6" t="inlineStr" s="3">
        <is>
          <t>Carry for 2027</t>
        </is>
      </c>
    </row>
    <row r="7">
      <c r="A7" t="inlineStr" s="3">
        <is>
          <t>plant tree</t>
        </is>
      </c>
      <c r="B7" t="inlineStr" s="3">
        <is>
          <t>ERG</t>
        </is>
      </c>
      <c r="C7" s="2">
        <v>123358</v>
      </c>
      <c r="D7" s="2">
        <v>130460</v>
      </c>
      <c r="E7" s="2">
        <v>-7102</v>
      </c>
      <c r="F7" s="2">
        <f>C7+E7</f>
      </c>
      <c r="G7" s="2">
        <f>F7-D7</f>
      </c>
      <c r="H7" s="3">
        <f>IF(G7&lt;0,"Over","OK")</f>
      </c>
      <c r="I7" t="inlineStr" s="3">
        <is>
          <t>Original note: covered by Q2</t>
        </is>
      </c>
    </row>
    <row r="8">
      <c r="A8" t="inlineStr" s="3">
        <is>
          <t>weekly lunch</t>
        </is>
      </c>
      <c r="B8" t="inlineStr" s="3">
        <is>
          <t>All year</t>
        </is>
      </c>
      <c r="C8" s="2">
        <v>373070</v>
      </c>
      <c r="D8" s="2">
        <v>0</v>
      </c>
      <c r="E8" s="2">
        <v>0</v>
      </c>
      <c r="F8" s="2">
        <f>C8+E8</f>
      </c>
      <c r="G8" s="2">
        <f>F8-D8</f>
      </c>
      <c r="H8" s="3">
        <f>IF(G8&lt;0,"Over","OK")</f>
      </c>
      <c r="I8" t="inlineStr" s="3">
        <is>
          <t>Tracked on Weekly Lunch sheet</t>
        </is>
      </c>
    </row>
    <row r="9">
      <c r="A9" t="inlineStr" s="5">
        <is>
          <t>TOTAL</t>
        </is>
      </c>
      <c r="C9" s="2">
        <f>SUM(C2:C8)</f>
      </c>
      <c r="D9" s="2">
        <f>SUM(D2:D8)</f>
      </c>
      <c r="E9" s="2">
        <f>SUM(E2:E8)</f>
      </c>
      <c r="F9" s="2">
        <f>SUM(F2:F8)</f>
      </c>
      <c r="G9" s="2">
        <f>SUM(G2:G8)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21"/>
  <cols>
    <col min="1" max="1" width="14" customWidth="1"/>
    <col min="2" max="2" width="14" customWidth="1"/>
    <col min="3" max="3" width="12" customWidth="1"/>
    <col min="4" max="4" width="14" customWidth="1"/>
    <col min="5" max="5" width="14" customWidth="1"/>
    <col min="6" max="6" width="14" customWidth="1"/>
    <col min="7" max="7" width="14" customWidth="1"/>
    <col min="8" max="8" width="42" customWidth="1"/>
  </cols>
  <sheetData>
    <row r="1">
      <c r="A1" t="inlineStr" s="1">
        <is>
          <t>Month</t>
        </is>
      </c>
      <c r="B1" t="inlineStr" s="1">
        <is>
          <t>Thursday</t>
        </is>
      </c>
      <c r="C1" t="inlineStr" s="1">
        <is>
          <t>Week</t>
        </is>
      </c>
      <c r="D1" t="inlineStr" s="1">
        <is>
          <t>Monthly Budget</t>
        </is>
      </c>
      <c r="E1" t="inlineStr" s="1">
        <is>
          <t>Weekly Budget</t>
        </is>
      </c>
      <c r="F1" t="inlineStr" s="1">
        <is>
          <t>Budget Spent</t>
        </is>
      </c>
      <c r="G1" t="inlineStr" s="1">
        <is>
          <t>Budget Left</t>
        </is>
      </c>
      <c r="H1" t="inlineStr" s="1">
        <is>
          <t>Note</t>
        </is>
      </c>
    </row>
    <row r="2">
      <c r="A2" t="inlineStr" s="3">
        <is>
          <t>March</t>
        </is>
      </c>
      <c r="B2" t="inlineStr" s="3">
        <is>
          <t>2026-03-05</t>
        </is>
      </c>
      <c r="C2" t="inlineStr" s="3">
        <is>
          <t>week 10</t>
        </is>
      </c>
      <c r="D2" s="2">
        <v>37307</v>
      </c>
      <c r="E2" s="2">
        <v>9327</v>
      </c>
      <c r="G2" s="2">
        <f>IF(F2="",E2,E2-F2)</f>
      </c>
    </row>
    <row r="3">
      <c r="A3" t="inlineStr" s="3">
        <is>
          <t>March</t>
        </is>
      </c>
      <c r="B3" t="inlineStr" s="3">
        <is>
          <t>2026-03-12</t>
        </is>
      </c>
      <c r="C3" t="inlineStr" s="3">
        <is>
          <t>week 11</t>
        </is>
      </c>
      <c r="D3" s="2">
        <v>37307</v>
      </c>
      <c r="E3" s="2">
        <v>9327</v>
      </c>
      <c r="G3" s="2">
        <f>IF(F3="",E3,E3-F3)</f>
      </c>
    </row>
    <row r="4">
      <c r="A4" t="inlineStr" s="3">
        <is>
          <t>March</t>
        </is>
      </c>
      <c r="B4" t="inlineStr" s="3">
        <is>
          <t>2026-03-19</t>
        </is>
      </c>
      <c r="C4" t="inlineStr" s="3">
        <is>
          <t>week 12</t>
        </is>
      </c>
      <c r="D4" s="2">
        <v>37307</v>
      </c>
      <c r="E4" s="2">
        <v>9327</v>
      </c>
      <c r="G4" s="2">
        <f>IF(F4="",E4,E4-F4)</f>
      </c>
    </row>
    <row r="5">
      <c r="A5" t="inlineStr" s="3">
        <is>
          <t>March</t>
        </is>
      </c>
      <c r="B5" t="inlineStr" s="3">
        <is>
          <t>2026-03-26</t>
        </is>
      </c>
      <c r="C5" t="inlineStr" s="3">
        <is>
          <t>week 13</t>
        </is>
      </c>
      <c r="D5" s="2">
        <v>37307</v>
      </c>
      <c r="E5" s="2">
        <v>9326</v>
      </c>
      <c r="G5" s="2">
        <f>IF(F5="",E5,E5-F5)</f>
      </c>
    </row>
    <row r="6">
      <c r="A6" t="inlineStr" s="3">
        <is>
          <t>April</t>
        </is>
      </c>
      <c r="B6" t="inlineStr" s="3">
        <is>
          <t>2026-04-02</t>
        </is>
      </c>
      <c r="C6" t="inlineStr" s="3">
        <is>
          <t>week 14</t>
        </is>
      </c>
      <c r="D6" s="2">
        <v>37307</v>
      </c>
      <c r="E6" s="2">
        <v>7462</v>
      </c>
      <c r="G6" s="2">
        <f>IF(F6="",E6,E6-F6)</f>
      </c>
    </row>
    <row r="7">
      <c r="A7" t="inlineStr" s="3">
        <is>
          <t>April</t>
        </is>
      </c>
      <c r="B7" t="inlineStr" s="3">
        <is>
          <t>2026-04-09</t>
        </is>
      </c>
      <c r="C7" t="inlineStr" s="3">
        <is>
          <t>week 15</t>
        </is>
      </c>
      <c r="D7" s="2">
        <v>37307</v>
      </c>
      <c r="E7" s="2">
        <v>7462</v>
      </c>
      <c r="G7" s="2">
        <f>IF(F7="",E7,E7-F7)</f>
      </c>
    </row>
    <row r="8">
      <c r="A8" t="inlineStr" s="3">
        <is>
          <t>April</t>
        </is>
      </c>
      <c r="B8" t="inlineStr" s="3">
        <is>
          <t>2026-04-16</t>
        </is>
      </c>
      <c r="C8" t="inlineStr" s="3">
        <is>
          <t>week 16</t>
        </is>
      </c>
      <c r="D8" s="2">
        <v>37307</v>
      </c>
      <c r="E8" s="2">
        <v>7461</v>
      </c>
      <c r="G8" s="2">
        <f>IF(F8="",E8,E8-F8)</f>
      </c>
    </row>
    <row r="9">
      <c r="A9" t="inlineStr" s="3">
        <is>
          <t>April</t>
        </is>
      </c>
      <c r="B9" t="inlineStr" s="3">
        <is>
          <t>2026-04-23</t>
        </is>
      </c>
      <c r="C9" t="inlineStr" s="3">
        <is>
          <t>week 17</t>
        </is>
      </c>
      <c r="D9" s="2">
        <v>37307</v>
      </c>
      <c r="E9" s="2">
        <v>7461</v>
      </c>
      <c r="G9" s="2">
        <f>IF(F9="",E9,E9-F9)</f>
      </c>
    </row>
    <row r="10">
      <c r="A10" t="inlineStr" s="3">
        <is>
          <t>April</t>
        </is>
      </c>
      <c r="B10" t="inlineStr" s="3">
        <is>
          <t>2026-04-30</t>
        </is>
      </c>
      <c r="C10" t="inlineStr" s="3">
        <is>
          <t>week 18</t>
        </is>
      </c>
      <c r="D10" s="2">
        <v>37307</v>
      </c>
      <c r="E10" s="2">
        <v>7461</v>
      </c>
      <c r="G10" s="2">
        <f>IF(F10="",E10,E10-F10)</f>
      </c>
    </row>
    <row r="11">
      <c r="A11" t="inlineStr" s="3">
        <is>
          <t>May</t>
        </is>
      </c>
      <c r="B11" t="inlineStr" s="3">
        <is>
          <t>2026-05-07</t>
        </is>
      </c>
      <c r="C11" t="inlineStr" s="3">
        <is>
          <t>week 19</t>
        </is>
      </c>
      <c r="D11" s="2">
        <v>37307</v>
      </c>
      <c r="E11" s="2">
        <v>9327</v>
      </c>
      <c r="G11" s="2">
        <f>IF(F11="",E11,E11-F11)</f>
      </c>
    </row>
    <row r="12">
      <c r="A12" t="inlineStr" s="3">
        <is>
          <t>May</t>
        </is>
      </c>
      <c r="B12" t="inlineStr" s="3">
        <is>
          <t>2026-05-14</t>
        </is>
      </c>
      <c r="C12" t="inlineStr" s="3">
        <is>
          <t>week 20</t>
        </is>
      </c>
      <c r="D12" s="2">
        <v>37307</v>
      </c>
      <c r="E12" s="2">
        <v>9327</v>
      </c>
      <c r="G12" s="2">
        <f>IF(F12="",E12,E12-F12)</f>
      </c>
    </row>
    <row r="13">
      <c r="A13" t="inlineStr" s="3">
        <is>
          <t>May</t>
        </is>
      </c>
      <c r="B13" t="inlineStr" s="3">
        <is>
          <t>2026-05-21</t>
        </is>
      </c>
      <c r="C13" t="inlineStr" s="3">
        <is>
          <t>week 21</t>
        </is>
      </c>
      <c r="D13" s="2">
        <v>37307</v>
      </c>
      <c r="E13" s="2">
        <v>9327</v>
      </c>
      <c r="G13" s="2">
        <f>IF(F13="",E13,E13-F13)</f>
      </c>
    </row>
    <row r="14">
      <c r="A14" t="inlineStr" s="3">
        <is>
          <t>May</t>
        </is>
      </c>
      <c r="B14" t="inlineStr" s="3">
        <is>
          <t>2026-05-28</t>
        </is>
      </c>
      <c r="C14" t="inlineStr" s="3">
        <is>
          <t>week 22</t>
        </is>
      </c>
      <c r="D14" s="2">
        <v>37307</v>
      </c>
      <c r="E14" s="2">
        <v>9326</v>
      </c>
      <c r="G14" s="2">
        <f>IF(F14="",E14,E14-F14)</f>
      </c>
    </row>
    <row r="15">
      <c r="A15" t="inlineStr" s="3">
        <is>
          <t>June</t>
        </is>
      </c>
      <c r="B15" t="inlineStr" s="3">
        <is>
          <t>2026-06-04</t>
        </is>
      </c>
      <c r="C15" t="inlineStr" s="3">
        <is>
          <t>week 23</t>
        </is>
      </c>
      <c r="D15" s="2">
        <v>37307</v>
      </c>
      <c r="E15" s="2">
        <v>9327</v>
      </c>
      <c r="G15" s="2">
        <f>IF(F15="",E15,E15-F15)</f>
      </c>
      <c r="H15" t="inlineStr" s="3">
        <is>
          <t>Original file had x in budget; changed to numeric budget with note</t>
        </is>
      </c>
    </row>
    <row r="16">
      <c r="A16" t="inlineStr" s="3">
        <is>
          <t>June</t>
        </is>
      </c>
      <c r="B16" t="inlineStr" s="3">
        <is>
          <t>2026-06-11</t>
        </is>
      </c>
      <c r="C16" t="inlineStr" s="3">
        <is>
          <t>week 24</t>
        </is>
      </c>
      <c r="D16" s="2">
        <v>37307</v>
      </c>
      <c r="E16" s="2">
        <v>9327</v>
      </c>
      <c r="G16" s="2">
        <f>IF(F16="",E16,E16-F16)</f>
      </c>
    </row>
    <row r="17">
      <c r="A17" t="inlineStr" s="3">
        <is>
          <t>June</t>
        </is>
      </c>
      <c r="B17" t="inlineStr" s="3">
        <is>
          <t>2026-06-18</t>
        </is>
      </c>
      <c r="C17" t="inlineStr" s="3">
        <is>
          <t>week 25</t>
        </is>
      </c>
      <c r="D17" s="2">
        <v>37307</v>
      </c>
      <c r="E17" s="2">
        <v>9327</v>
      </c>
      <c r="G17" s="2">
        <f>IF(F17="",E17,E17-F17)</f>
      </c>
    </row>
    <row r="18">
      <c r="A18" t="inlineStr" s="3">
        <is>
          <t>June</t>
        </is>
      </c>
      <c r="B18" t="inlineStr" s="3">
        <is>
          <t>2026-06-25</t>
        </is>
      </c>
      <c r="C18" t="inlineStr" s="3">
        <is>
          <t>week 26</t>
        </is>
      </c>
      <c r="D18" s="2">
        <v>37307</v>
      </c>
      <c r="E18" s="2">
        <v>9326</v>
      </c>
      <c r="G18" s="2">
        <f>IF(F18="",E18,E18-F18)</f>
      </c>
    </row>
    <row r="19">
      <c r="A19" t="inlineStr" s="3">
        <is>
          <t>July</t>
        </is>
      </c>
      <c r="B19" t="inlineStr" s="3">
        <is>
          <t>2026-07-02</t>
        </is>
      </c>
      <c r="C19" t="inlineStr" s="3">
        <is>
          <t>week 27</t>
        </is>
      </c>
      <c r="D19" s="2">
        <v>37307</v>
      </c>
      <c r="E19" s="2">
        <v>7462</v>
      </c>
      <c r="G19" s="2">
        <f>IF(F19="",E19,E19-F19)</f>
      </c>
    </row>
    <row r="20">
      <c r="A20" t="inlineStr" s="3">
        <is>
          <t>July</t>
        </is>
      </c>
      <c r="B20" t="inlineStr" s="3">
        <is>
          <t>2026-07-09</t>
        </is>
      </c>
      <c r="C20" t="inlineStr" s="3">
        <is>
          <t>week 28</t>
        </is>
      </c>
      <c r="D20" s="2">
        <v>37307</v>
      </c>
      <c r="E20" s="2">
        <v>7462</v>
      </c>
      <c r="G20" s="2">
        <f>IF(F20="",E20,E20-F20)</f>
      </c>
    </row>
    <row r="21">
      <c r="A21" t="inlineStr" s="3">
        <is>
          <t>July</t>
        </is>
      </c>
      <c r="B21" t="inlineStr" s="3">
        <is>
          <t>2026-07-16</t>
        </is>
      </c>
      <c r="C21" t="inlineStr" s="3">
        <is>
          <t>week 29</t>
        </is>
      </c>
      <c r="D21" s="2">
        <v>37307</v>
      </c>
      <c r="E21" s="2">
        <v>7461</v>
      </c>
      <c r="G21" s="2">
        <f>IF(F21="",E21,E21-F21)</f>
      </c>
    </row>
    <row r="22">
      <c r="A22" t="inlineStr" s="3">
        <is>
          <t>July</t>
        </is>
      </c>
      <c r="B22" t="inlineStr" s="3">
        <is>
          <t>2026-07-23</t>
        </is>
      </c>
      <c r="C22" t="inlineStr" s="3">
        <is>
          <t>week 30</t>
        </is>
      </c>
      <c r="D22" s="2">
        <v>37307</v>
      </c>
      <c r="E22" s="2">
        <v>7461</v>
      </c>
      <c r="G22" s="2">
        <f>IF(F22="",E22,E22-F22)</f>
      </c>
    </row>
    <row r="23">
      <c r="A23" t="inlineStr" s="3">
        <is>
          <t>July</t>
        </is>
      </c>
      <c r="B23" t="inlineStr" s="3">
        <is>
          <t>2026-07-30</t>
        </is>
      </c>
      <c r="C23" t="inlineStr" s="3">
        <is>
          <t>week 31</t>
        </is>
      </c>
      <c r="D23" s="2">
        <v>37307</v>
      </c>
      <c r="E23" s="2">
        <v>7461</v>
      </c>
      <c r="G23" s="2">
        <f>IF(F23="",E23,E23-F23)</f>
      </c>
    </row>
    <row r="24">
      <c r="A24" t="inlineStr" s="3">
        <is>
          <t>August</t>
        </is>
      </c>
      <c r="B24" t="inlineStr" s="3">
        <is>
          <t>2026-08-06</t>
        </is>
      </c>
      <c r="C24" t="inlineStr" s="3">
        <is>
          <t>week 32</t>
        </is>
      </c>
      <c r="D24" s="2">
        <v>37307</v>
      </c>
      <c r="E24" s="2">
        <v>9327</v>
      </c>
      <c r="G24" s="2">
        <f>IF(F24="",E24,E24-F24)</f>
      </c>
    </row>
    <row r="25">
      <c r="A25" t="inlineStr" s="3">
        <is>
          <t>August</t>
        </is>
      </c>
      <c r="B25" t="inlineStr" s="3">
        <is>
          <t>2026-08-13</t>
        </is>
      </c>
      <c r="C25" t="inlineStr" s="3">
        <is>
          <t>week 33</t>
        </is>
      </c>
      <c r="D25" s="2">
        <v>37307</v>
      </c>
      <c r="E25" s="2">
        <v>9327</v>
      </c>
      <c r="G25" s="2">
        <f>IF(F25="",E25,E25-F25)</f>
      </c>
    </row>
    <row r="26">
      <c r="A26" t="inlineStr" s="3">
        <is>
          <t>August</t>
        </is>
      </c>
      <c r="B26" t="inlineStr" s="3">
        <is>
          <t>2026-08-20</t>
        </is>
      </c>
      <c r="C26" t="inlineStr" s="3">
        <is>
          <t>week 34</t>
        </is>
      </c>
      <c r="D26" s="2">
        <v>37307</v>
      </c>
      <c r="E26" s="2">
        <v>9327</v>
      </c>
      <c r="G26" s="2">
        <f>IF(F26="",E26,E26-F26)</f>
      </c>
    </row>
    <row r="27">
      <c r="A27" t="inlineStr" s="3">
        <is>
          <t>August</t>
        </is>
      </c>
      <c r="B27" t="inlineStr" s="3">
        <is>
          <t>2026-08-27</t>
        </is>
      </c>
      <c r="C27" t="inlineStr" s="3">
        <is>
          <t>week 35</t>
        </is>
      </c>
      <c r="D27" s="2">
        <v>37307</v>
      </c>
      <c r="E27" s="2">
        <v>9326</v>
      </c>
      <c r="G27" s="2">
        <f>IF(F27="",E27,E27-F27)</f>
      </c>
    </row>
    <row r="28">
      <c r="A28" t="inlineStr" s="3">
        <is>
          <t>September</t>
        </is>
      </c>
      <c r="B28" t="inlineStr" s="3">
        <is>
          <t>2026-09-03</t>
        </is>
      </c>
      <c r="C28" t="inlineStr" s="3">
        <is>
          <t>week 36</t>
        </is>
      </c>
      <c r="D28" s="2">
        <v>37307</v>
      </c>
      <c r="E28" s="2">
        <v>9327</v>
      </c>
      <c r="G28" s="2">
        <f>IF(F28="",E28,E28-F28)</f>
      </c>
    </row>
    <row r="29">
      <c r="A29" t="inlineStr" s="3">
        <is>
          <t>September</t>
        </is>
      </c>
      <c r="B29" t="inlineStr" s="3">
        <is>
          <t>2026-09-10</t>
        </is>
      </c>
      <c r="C29" t="inlineStr" s="3">
        <is>
          <t>week 37</t>
        </is>
      </c>
      <c r="D29" s="2">
        <v>37307</v>
      </c>
      <c r="E29" s="2">
        <v>9327</v>
      </c>
      <c r="G29" s="2">
        <f>IF(F29="",E29,E29-F29)</f>
      </c>
    </row>
    <row r="30">
      <c r="A30" t="inlineStr" s="3">
        <is>
          <t>September</t>
        </is>
      </c>
      <c r="B30" t="inlineStr" s="3">
        <is>
          <t>2026-09-17</t>
        </is>
      </c>
      <c r="C30" t="inlineStr" s="3">
        <is>
          <t>week 38</t>
        </is>
      </c>
      <c r="D30" s="2">
        <v>37307</v>
      </c>
      <c r="E30" s="2">
        <v>9327</v>
      </c>
      <c r="G30" s="2">
        <f>IF(F30="",E30,E30-F30)</f>
      </c>
    </row>
    <row r="31">
      <c r="A31" t="inlineStr" s="3">
        <is>
          <t>September</t>
        </is>
      </c>
      <c r="B31" t="inlineStr" s="3">
        <is>
          <t>2026-09-24</t>
        </is>
      </c>
      <c r="C31" t="inlineStr" s="3">
        <is>
          <t>week 39</t>
        </is>
      </c>
      <c r="D31" s="2">
        <v>37307</v>
      </c>
      <c r="E31" s="2">
        <v>9326</v>
      </c>
      <c r="G31" s="2">
        <f>IF(F31="",E31,E31-F31)</f>
      </c>
    </row>
    <row r="32">
      <c r="A32" t="inlineStr" s="3">
        <is>
          <t>October</t>
        </is>
      </c>
      <c r="B32" t="inlineStr" s="3">
        <is>
          <t>2026-10-01</t>
        </is>
      </c>
      <c r="C32" t="inlineStr" s="3">
        <is>
          <t>week 40</t>
        </is>
      </c>
      <c r="D32" s="2">
        <v>37307</v>
      </c>
      <c r="E32" s="2">
        <v>7462</v>
      </c>
      <c r="G32" s="2">
        <f>IF(F32="",E32,E32-F32)</f>
      </c>
    </row>
    <row r="33">
      <c r="A33" t="inlineStr" s="3">
        <is>
          <t>October</t>
        </is>
      </c>
      <c r="B33" t="inlineStr" s="3">
        <is>
          <t>2026-10-08</t>
        </is>
      </c>
      <c r="C33" t="inlineStr" s="3">
        <is>
          <t>week 41</t>
        </is>
      </c>
      <c r="D33" s="2">
        <v>37307</v>
      </c>
      <c r="E33" s="2">
        <v>7462</v>
      </c>
      <c r="G33" s="2">
        <f>IF(F33="",E33,E33-F33)</f>
      </c>
    </row>
    <row r="34">
      <c r="A34" t="inlineStr" s="3">
        <is>
          <t>October</t>
        </is>
      </c>
      <c r="B34" t="inlineStr" s="3">
        <is>
          <t>2026-10-15</t>
        </is>
      </c>
      <c r="C34" t="inlineStr" s="3">
        <is>
          <t>week 42</t>
        </is>
      </c>
      <c r="D34" s="2">
        <v>37307</v>
      </c>
      <c r="E34" s="2">
        <v>7461</v>
      </c>
      <c r="G34" s="2">
        <f>IF(F34="",E34,E34-F34)</f>
      </c>
    </row>
    <row r="35">
      <c r="A35" t="inlineStr" s="3">
        <is>
          <t>October</t>
        </is>
      </c>
      <c r="B35" t="inlineStr" s="3">
        <is>
          <t>2026-10-22</t>
        </is>
      </c>
      <c r="C35" t="inlineStr" s="3">
        <is>
          <t>week 43</t>
        </is>
      </c>
      <c r="D35" s="2">
        <v>37307</v>
      </c>
      <c r="E35" s="2">
        <v>7461</v>
      </c>
      <c r="G35" s="2">
        <f>IF(F35="",E35,E35-F35)</f>
      </c>
    </row>
    <row r="36">
      <c r="A36" t="inlineStr" s="3">
        <is>
          <t>October</t>
        </is>
      </c>
      <c r="B36" t="inlineStr" s="3">
        <is>
          <t>2026-10-29</t>
        </is>
      </c>
      <c r="C36" t="inlineStr" s="3">
        <is>
          <t>week 44</t>
        </is>
      </c>
      <c r="D36" s="2">
        <v>37307</v>
      </c>
      <c r="E36" s="2">
        <v>7461</v>
      </c>
      <c r="G36" s="2">
        <f>IF(F36="",E36,E36-F36)</f>
      </c>
    </row>
    <row r="37">
      <c r="A37" t="inlineStr" s="3">
        <is>
          <t>November</t>
        </is>
      </c>
      <c r="B37" t="inlineStr" s="3">
        <is>
          <t>2026-11-05</t>
        </is>
      </c>
      <c r="C37" t="inlineStr" s="3">
        <is>
          <t>week 45</t>
        </is>
      </c>
      <c r="D37" s="2">
        <v>37307</v>
      </c>
      <c r="E37" s="2">
        <v>9327</v>
      </c>
      <c r="G37" s="2">
        <f>IF(F37="",E37,E37-F37)</f>
      </c>
    </row>
    <row r="38">
      <c r="A38" t="inlineStr" s="3">
        <is>
          <t>November</t>
        </is>
      </c>
      <c r="B38" t="inlineStr" s="3">
        <is>
          <t>2026-11-12</t>
        </is>
      </c>
      <c r="C38" t="inlineStr" s="3">
        <is>
          <t>week 46</t>
        </is>
      </c>
      <c r="D38" s="2">
        <v>37307</v>
      </c>
      <c r="E38" s="2">
        <v>9327</v>
      </c>
      <c r="G38" s="2">
        <f>IF(F38="",E38,E38-F38)</f>
      </c>
    </row>
    <row r="39">
      <c r="A39" t="inlineStr" s="3">
        <is>
          <t>November</t>
        </is>
      </c>
      <c r="B39" t="inlineStr" s="3">
        <is>
          <t>2026-11-19</t>
        </is>
      </c>
      <c r="C39" t="inlineStr" s="3">
        <is>
          <t>week 47</t>
        </is>
      </c>
      <c r="D39" s="2">
        <v>37307</v>
      </c>
      <c r="E39" s="2">
        <v>9327</v>
      </c>
      <c r="G39" s="2">
        <f>IF(F39="",E39,E39-F39)</f>
      </c>
    </row>
    <row r="40">
      <c r="A40" t="inlineStr" s="3">
        <is>
          <t>November</t>
        </is>
      </c>
      <c r="B40" t="inlineStr" s="3">
        <is>
          <t>2026-11-26</t>
        </is>
      </c>
      <c r="C40" t="inlineStr" s="3">
        <is>
          <t>week 48</t>
        </is>
      </c>
      <c r="D40" s="2">
        <v>37307</v>
      </c>
      <c r="E40" s="2">
        <v>9326</v>
      </c>
      <c r="G40" s="2">
        <f>IF(F40="",E40,E40-F40)</f>
      </c>
    </row>
    <row r="41">
      <c r="A41" t="inlineStr" s="3">
        <is>
          <t>December</t>
        </is>
      </c>
      <c r="B41" t="inlineStr" s="3">
        <is>
          <t>2026-12-03</t>
        </is>
      </c>
      <c r="C41" t="inlineStr" s="3">
        <is>
          <t>week 49</t>
        </is>
      </c>
      <c r="D41" s="2">
        <v>37307</v>
      </c>
      <c r="E41" s="2">
        <v>7462</v>
      </c>
      <c r="G41" s="2">
        <f>IF(F41="",E41,E41-F41)</f>
      </c>
    </row>
    <row r="42">
      <c r="A42" t="inlineStr" s="3">
        <is>
          <t>December</t>
        </is>
      </c>
      <c r="B42" t="inlineStr" s="3">
        <is>
          <t>2026-12-10</t>
        </is>
      </c>
      <c r="C42" t="inlineStr" s="3">
        <is>
          <t>week 50</t>
        </is>
      </c>
      <c r="D42" s="2">
        <v>37307</v>
      </c>
      <c r="E42" s="2">
        <v>7462</v>
      </c>
      <c r="G42" s="2">
        <f>IF(F42="",E42,E42-F42)</f>
      </c>
    </row>
    <row r="43">
      <c r="A43" t="inlineStr" s="3">
        <is>
          <t>December</t>
        </is>
      </c>
      <c r="B43" t="inlineStr" s="3">
        <is>
          <t>2026-12-17</t>
        </is>
      </c>
      <c r="C43" t="inlineStr" s="3">
        <is>
          <t>week 51</t>
        </is>
      </c>
      <c r="D43" s="2">
        <v>37307</v>
      </c>
      <c r="E43" s="2">
        <v>7461</v>
      </c>
      <c r="G43" s="2">
        <f>IF(F43="",E43,E43-F43)</f>
      </c>
    </row>
    <row r="44">
      <c r="A44" t="inlineStr" s="3">
        <is>
          <t>December</t>
        </is>
      </c>
      <c r="B44" t="inlineStr" s="3">
        <is>
          <t>2026-12-24</t>
        </is>
      </c>
      <c r="C44" t="inlineStr" s="3">
        <is>
          <t>week 52</t>
        </is>
      </c>
      <c r="D44" s="2">
        <v>37307</v>
      </c>
      <c r="E44" s="2">
        <v>7461</v>
      </c>
      <c r="G44" s="2">
        <f>IF(F44="",E44,E44-F44)</f>
      </c>
    </row>
    <row r="45">
      <c r="A45" t="inlineStr" s="3">
        <is>
          <t>December</t>
        </is>
      </c>
      <c r="B45" t="inlineStr" s="3">
        <is>
          <t>2026-12-31</t>
        </is>
      </c>
      <c r="C45" t="inlineStr" s="3">
        <is>
          <t>week 53</t>
        </is>
      </c>
      <c r="D45" s="2">
        <v>37307</v>
      </c>
      <c r="E45" s="2">
        <v>7461</v>
      </c>
      <c r="G45" s="2">
        <f>IF(F45="",E45,E45-F45)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Weekly Lunch</vt:lpstr>
    </vt:vector>
  </TitlesOfParts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Team Building Budget Reworked</dc:title>
  <dc:creator>Codex</dc:creator>
  <cp:lastModifiedBy>Codex</cp:lastModifiedBy>
  <dcterms:created xsi:type="dcterms:W3CDTF">2026-03-17T00:00:00Z</dcterms:created>
  <dcterms:modified xsi:type="dcterms:W3CDTF">2026-03-17T00:00:00Z</dcterms:modified>
</cp:coreProperties>
</file>